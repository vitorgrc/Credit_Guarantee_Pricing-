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24a4e3d3d1b5489/Desktop/Análise de dados/Preditiva/Lives/Projetos/Projeto café/"/>
    </mc:Choice>
  </mc:AlternateContent>
  <xr:revisionPtr revIDLastSave="8" documentId="13_ncr:1_{68FACC09-AC28-46F9-95DD-D907246EE0B3}" xr6:coauthVersionLast="47" xr6:coauthVersionMax="47" xr10:uidLastSave="{5255A8F6-26EC-4081-819E-7E3867AEB6FA}"/>
  <bookViews>
    <workbookView xWindow="-108" yWindow="-108" windowWidth="23256" windowHeight="12456" tabRatio="500" activeTab="2" xr2:uid="{00000000-000D-0000-FFFF-FFFF00000000}"/>
  </bookViews>
  <sheets>
    <sheet name="Metadados" sheetId="1" r:id="rId1"/>
    <sheet name="Base" sheetId="2" r:id="rId2"/>
    <sheet name="Calculadora" sheetId="3" r:id="rId3"/>
    <sheet name="Análise" sheetId="4" r:id="rId4"/>
    <sheet name="Validação" sheetId="5" r:id="rId5"/>
  </sheets>
  <definedNames>
    <definedName name="_xlnm._FilterDatabase" localSheetId="1" hidden="1">Base!$A$1:$E$863</definedName>
  </definedName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2" i="4" l="1"/>
  <c r="C142" i="4"/>
  <c r="B145" i="4" s="1"/>
  <c r="B142" i="4"/>
  <c r="E141" i="4"/>
  <c r="F141" i="4" s="1"/>
  <c r="D141" i="4"/>
  <c r="E140" i="4"/>
  <c r="F140" i="4" s="1"/>
  <c r="D140" i="4"/>
  <c r="E139" i="4"/>
  <c r="F139" i="4" s="1"/>
  <c r="D139" i="4"/>
  <c r="F138" i="4"/>
  <c r="E138" i="4"/>
  <c r="D138" i="4"/>
  <c r="E137" i="4"/>
  <c r="F137" i="4" s="1"/>
  <c r="D137" i="4"/>
  <c r="E136" i="4"/>
  <c r="F136" i="4" s="1"/>
  <c r="B149" i="4" s="1"/>
  <c r="D136" i="4"/>
  <c r="E135" i="4"/>
  <c r="F135" i="4" s="1"/>
  <c r="D135" i="4"/>
  <c r="F134" i="4"/>
  <c r="E134" i="4"/>
  <c r="D134" i="4"/>
  <c r="E133" i="4"/>
  <c r="F133" i="4" s="1"/>
  <c r="D133" i="4"/>
  <c r="C128" i="4"/>
  <c r="B128" i="4"/>
  <c r="E127" i="4"/>
  <c r="F127" i="4" s="1"/>
  <c r="D127" i="4"/>
  <c r="F126" i="4"/>
  <c r="E126" i="4"/>
  <c r="D126" i="4"/>
  <c r="E125" i="4"/>
  <c r="F125" i="4" s="1"/>
  <c r="D125" i="4"/>
  <c r="E124" i="4"/>
  <c r="F124" i="4" s="1"/>
  <c r="D124" i="4"/>
  <c r="E123" i="4"/>
  <c r="F123" i="4" s="1"/>
  <c r="D123" i="4"/>
  <c r="F122" i="4"/>
  <c r="E122" i="4"/>
  <c r="D122" i="4"/>
  <c r="E121" i="4"/>
  <c r="F121" i="4" s="1"/>
  <c r="D121" i="4"/>
  <c r="E120" i="4"/>
  <c r="F120" i="4" s="1"/>
  <c r="D120" i="4"/>
  <c r="E119" i="4"/>
  <c r="F119" i="4" s="1"/>
  <c r="D119" i="4"/>
  <c r="F118" i="4"/>
  <c r="E118" i="4"/>
  <c r="D118" i="4"/>
  <c r="E117" i="4"/>
  <c r="F117" i="4" s="1"/>
  <c r="D117" i="4"/>
  <c r="E116" i="4"/>
  <c r="F116" i="4" s="1"/>
  <c r="B146" i="4" s="1"/>
  <c r="D116" i="4"/>
  <c r="D128" i="4" s="1"/>
  <c r="E110" i="4"/>
  <c r="F110" i="4" s="1"/>
  <c r="E109" i="4"/>
  <c r="F109" i="4" s="1"/>
  <c r="E108" i="4"/>
  <c r="F108" i="4" s="1"/>
  <c r="E107" i="4"/>
  <c r="F107" i="4" s="1"/>
  <c r="E106" i="4"/>
  <c r="F106" i="4" s="1"/>
  <c r="E105" i="4"/>
  <c r="F105" i="4" s="1"/>
  <c r="B148" i="4" s="1"/>
  <c r="E104" i="4"/>
  <c r="F104" i="4" s="1"/>
  <c r="E98" i="4"/>
  <c r="F98" i="4" s="1"/>
  <c r="E97" i="4"/>
  <c r="F97" i="4" s="1"/>
  <c r="E96" i="4"/>
  <c r="F96" i="4" s="1"/>
  <c r="B147" i="4" s="1"/>
  <c r="E95" i="4"/>
  <c r="F95" i="4" s="1"/>
  <c r="D87" i="4"/>
  <c r="C87" i="4"/>
  <c r="F85" i="4" s="1"/>
  <c r="B87" i="4"/>
  <c r="G86" i="4"/>
  <c r="D86" i="4"/>
  <c r="E86" i="4" s="1"/>
  <c r="G85" i="4"/>
  <c r="E85" i="4"/>
  <c r="D85" i="4"/>
  <c r="G84" i="4"/>
  <c r="D84" i="4"/>
  <c r="E84" i="4" s="1"/>
  <c r="G83" i="4"/>
  <c r="E83" i="4"/>
  <c r="D83" i="4"/>
  <c r="G82" i="4"/>
  <c r="D82" i="4"/>
  <c r="E82" i="4" s="1"/>
  <c r="G81" i="4"/>
  <c r="E81" i="4"/>
  <c r="D81" i="4"/>
  <c r="G80" i="4"/>
  <c r="D80" i="4"/>
  <c r="E80" i="4" s="1"/>
  <c r="G79" i="4"/>
  <c r="E79" i="4"/>
  <c r="D79" i="4"/>
  <c r="G78" i="4"/>
  <c r="D78" i="4"/>
  <c r="E78" i="4" s="1"/>
  <c r="C73" i="4"/>
  <c r="F67" i="4" s="1"/>
  <c r="B73" i="4"/>
  <c r="G72" i="4" s="1"/>
  <c r="D72" i="4"/>
  <c r="D71" i="4"/>
  <c r="D70" i="4"/>
  <c r="D69" i="4"/>
  <c r="D68" i="4"/>
  <c r="D67" i="4"/>
  <c r="D66" i="4"/>
  <c r="D65" i="4"/>
  <c r="D64" i="4"/>
  <c r="D63" i="4"/>
  <c r="D62" i="4"/>
  <c r="D61" i="4"/>
  <c r="H55" i="4"/>
  <c r="I55" i="4" s="1"/>
  <c r="G55" i="4"/>
  <c r="F55" i="4"/>
  <c r="E55" i="4"/>
  <c r="G54" i="4"/>
  <c r="F54" i="4"/>
  <c r="E54" i="4"/>
  <c r="H53" i="4"/>
  <c r="G53" i="4"/>
  <c r="F53" i="4"/>
  <c r="I53" i="4" s="1"/>
  <c r="E53" i="4"/>
  <c r="G52" i="4"/>
  <c r="F52" i="4"/>
  <c r="E52" i="4"/>
  <c r="H51" i="4"/>
  <c r="I51" i="4" s="1"/>
  <c r="G51" i="4"/>
  <c r="F51" i="4"/>
  <c r="E51" i="4"/>
  <c r="G50" i="4"/>
  <c r="F50" i="4"/>
  <c r="H50" i="4" s="1"/>
  <c r="I50" i="4" s="1"/>
  <c r="E50" i="4"/>
  <c r="G49" i="4"/>
  <c r="F49" i="4"/>
  <c r="H49" i="4" s="1"/>
  <c r="E49" i="4"/>
  <c r="H43" i="4"/>
  <c r="I43" i="4" s="1"/>
  <c r="G43" i="4"/>
  <c r="F43" i="4"/>
  <c r="E43" i="4"/>
  <c r="G42" i="4"/>
  <c r="F42" i="4"/>
  <c r="E42" i="4"/>
  <c r="H41" i="4"/>
  <c r="G41" i="4"/>
  <c r="F41" i="4"/>
  <c r="I41" i="4" s="1"/>
  <c r="E41" i="4"/>
  <c r="G40" i="4"/>
  <c r="F40" i="4"/>
  <c r="E40" i="4"/>
  <c r="E71" i="4" l="1"/>
  <c r="I40" i="4"/>
  <c r="E61" i="4"/>
  <c r="E62" i="4"/>
  <c r="H85" i="4"/>
  <c r="I85" i="4" s="1"/>
  <c r="I13" i="5"/>
  <c r="G13" i="5" s="1"/>
  <c r="H13" i="5" s="1"/>
  <c r="I9" i="5"/>
  <c r="G9" i="5" s="1"/>
  <c r="H9" i="5" s="1"/>
  <c r="I5" i="5"/>
  <c r="G5" i="5" s="1"/>
  <c r="H5" i="5" s="1"/>
  <c r="I12" i="5"/>
  <c r="G12" i="5" s="1"/>
  <c r="H12" i="5" s="1"/>
  <c r="I8" i="5"/>
  <c r="G8" i="5" s="1"/>
  <c r="H8" i="5" s="1"/>
  <c r="I4" i="5"/>
  <c r="G4" i="5" s="1"/>
  <c r="I7" i="5"/>
  <c r="G7" i="5" s="1"/>
  <c r="H7" i="5" s="1"/>
  <c r="B151" i="4"/>
  <c r="B152" i="4" s="1"/>
  <c r="B153" i="4" s="1"/>
  <c r="I11" i="5"/>
  <c r="G11" i="5" s="1"/>
  <c r="H11" i="5" s="1"/>
  <c r="I6" i="5"/>
  <c r="G6" i="5" s="1"/>
  <c r="H6" i="5" s="1"/>
  <c r="I10" i="5"/>
  <c r="G10" i="5" s="1"/>
  <c r="H10" i="5" s="1"/>
  <c r="E66" i="4"/>
  <c r="H42" i="4"/>
  <c r="I42" i="4" s="1"/>
  <c r="I49" i="4"/>
  <c r="H54" i="4"/>
  <c r="I54" i="4" s="1"/>
  <c r="G61" i="4"/>
  <c r="G63" i="4"/>
  <c r="G65" i="4"/>
  <c r="G67" i="4"/>
  <c r="G69" i="4"/>
  <c r="G71" i="4"/>
  <c r="F83" i="4"/>
  <c r="D73" i="4"/>
  <c r="E67" i="4" s="1"/>
  <c r="H40" i="4"/>
  <c r="H52" i="4"/>
  <c r="I52" i="4" s="1"/>
  <c r="F78" i="4"/>
  <c r="F80" i="4"/>
  <c r="F82" i="4"/>
  <c r="F84" i="4"/>
  <c r="F86" i="4"/>
  <c r="F79" i="4"/>
  <c r="F61" i="4"/>
  <c r="F65" i="4"/>
  <c r="F69" i="4"/>
  <c r="F71" i="4"/>
  <c r="F62" i="4"/>
  <c r="F64" i="4"/>
  <c r="F66" i="4"/>
  <c r="F68" i="4"/>
  <c r="F70" i="4"/>
  <c r="F72" i="4"/>
  <c r="G62" i="4"/>
  <c r="G64" i="4"/>
  <c r="G66" i="4"/>
  <c r="G68" i="4"/>
  <c r="G70" i="4"/>
  <c r="F81" i="4"/>
  <c r="F63" i="4"/>
  <c r="C22" i="3" l="1"/>
  <c r="C24" i="3" s="1"/>
  <c r="H70" i="4"/>
  <c r="I70" i="4" s="1"/>
  <c r="H82" i="4"/>
  <c r="I82" i="4" s="1"/>
  <c r="H15" i="5"/>
  <c r="H4" i="5"/>
  <c r="H68" i="4"/>
  <c r="I68" i="4" s="1"/>
  <c r="H80" i="4"/>
  <c r="I80" i="4" s="1"/>
  <c r="E72" i="4"/>
  <c r="H66" i="4"/>
  <c r="I66" i="4" s="1"/>
  <c r="H78" i="4"/>
  <c r="I78" i="4" s="1"/>
  <c r="I56" i="4"/>
  <c r="J56" i="4" s="1"/>
  <c r="H72" i="4"/>
  <c r="I72" i="4" s="1"/>
  <c r="H84" i="4"/>
  <c r="I84" i="4" s="1"/>
  <c r="H64" i="4"/>
  <c r="I64" i="4" s="1"/>
  <c r="I44" i="4"/>
  <c r="H63" i="4"/>
  <c r="I63" i="4" s="1"/>
  <c r="H62" i="4"/>
  <c r="I62" i="4" s="1"/>
  <c r="H81" i="4"/>
  <c r="I81" i="4" s="1"/>
  <c r="H71" i="4"/>
  <c r="I71" i="4" s="1"/>
  <c r="E65" i="4"/>
  <c r="E70" i="4"/>
  <c r="H69" i="4"/>
  <c r="I69" i="4" s="1"/>
  <c r="H83" i="4"/>
  <c r="I83" i="4" s="1"/>
  <c r="E63" i="4"/>
  <c r="E64" i="4"/>
  <c r="E69" i="4"/>
  <c r="H65" i="4"/>
  <c r="I65" i="4" s="1"/>
  <c r="E68" i="4"/>
  <c r="H61" i="4"/>
  <c r="I61" i="4" s="1"/>
  <c r="H79" i="4"/>
  <c r="I79" i="4" s="1"/>
  <c r="H67" i="4"/>
  <c r="I67" i="4" s="1"/>
  <c r="H86" i="4"/>
  <c r="I86" i="4" s="1"/>
  <c r="I87" i="4" l="1"/>
  <c r="J87" i="4" s="1"/>
  <c r="I73" i="4"/>
  <c r="J73" i="4" s="1"/>
</calcChain>
</file>

<file path=xl/sharedStrings.xml><?xml version="1.0" encoding="utf-8"?>
<sst xmlns="http://schemas.openxmlformats.org/spreadsheetml/2006/main" count="4673" uniqueCount="116">
  <si>
    <t>Variável</t>
  </si>
  <si>
    <t>Descrição</t>
  </si>
  <si>
    <t>Pais_Origem</t>
  </si>
  <si>
    <t>País de Origem do Café</t>
  </si>
  <si>
    <t>Tipo_Variedade</t>
  </si>
  <si>
    <t>Tipo de Variedade do Café</t>
  </si>
  <si>
    <t>Tipo_Processamento</t>
  </si>
  <si>
    <t>Tipo de Processamento que o Café foi produzido</t>
  </si>
  <si>
    <t>Faixa de Altitude</t>
  </si>
  <si>
    <t>Faixa de Altitude em que o Café foi cultivado</t>
  </si>
  <si>
    <t>Tipo_Qualidade</t>
  </si>
  <si>
    <t>Tipo de Qualidade de Café: Premium ou Normal</t>
  </si>
  <si>
    <t>Others</t>
  </si>
  <si>
    <t>Catimor</t>
  </si>
  <si>
    <t>Washed / Wet</t>
  </si>
  <si>
    <t>1300-1500</t>
  </si>
  <si>
    <t>Premium</t>
  </si>
  <si>
    <t>Brazil</t>
  </si>
  <si>
    <t>Yellow Bourbon</t>
  </si>
  <si>
    <t>Semi-washed / Semi-pulped</t>
  </si>
  <si>
    <t>1100-1300</t>
  </si>
  <si>
    <t>Mexico</t>
  </si>
  <si>
    <t>Typica</t>
  </si>
  <si>
    <t>Guatemala</t>
  </si>
  <si>
    <t>Catuai</t>
  </si>
  <si>
    <t>Normal</t>
  </si>
  <si>
    <t>Bourbon</t>
  </si>
  <si>
    <t>Colombia</t>
  </si>
  <si>
    <t>Caturra</t>
  </si>
  <si>
    <t>1700-1900</t>
  </si>
  <si>
    <t>1500-1700</t>
  </si>
  <si>
    <t>Mundo Novo</t>
  </si>
  <si>
    <t>Natural / Dry</t>
  </si>
  <si>
    <t>900-1100</t>
  </si>
  <si>
    <t>Tanzania, United Republic Of</t>
  </si>
  <si>
    <t>Outro</t>
  </si>
  <si>
    <t>&lt;700</t>
  </si>
  <si>
    <t>United States</t>
  </si>
  <si>
    <t>Uganda</t>
  </si>
  <si>
    <t>Pacas</t>
  </si>
  <si>
    <t>700-900</t>
  </si>
  <si>
    <t>Honduras</t>
  </si>
  <si>
    <t>El Salvador</t>
  </si>
  <si>
    <t>Pacamara</t>
  </si>
  <si>
    <t>Taiwan</t>
  </si>
  <si>
    <t>Arusha</t>
  </si>
  <si>
    <t>Costa Rica</t>
  </si>
  <si>
    <t>Thailand</t>
  </si>
  <si>
    <t>Gesha</t>
  </si>
  <si>
    <t>Pulped natural / honey</t>
  </si>
  <si>
    <t>Haiti</t>
  </si>
  <si>
    <t>Blue Mountain</t>
  </si>
  <si>
    <t>Nicaragua</t>
  </si>
  <si>
    <t>Indonesia</t>
  </si>
  <si>
    <t>Malawi</t>
  </si>
  <si>
    <t>China</t>
  </si>
  <si>
    <t>Ethiopia</t>
  </si>
  <si>
    <t>Sumatra</t>
  </si>
  <si>
    <t>Peru</t>
  </si>
  <si>
    <t>Ethiopian Yirgacheffe</t>
  </si>
  <si>
    <t>Myanmar</t>
  </si>
  <si>
    <t>Ruiru 11</t>
  </si>
  <si>
    <t>Mandheling</t>
  </si>
  <si>
    <t>Java</t>
  </si>
  <si>
    <t>Vietnam</t>
  </si>
  <si>
    <t>Kenya</t>
  </si>
  <si>
    <t>Peaberry</t>
  </si>
  <si>
    <t>Precificação de Café para Cálculo de Garantias em Crédito</t>
  </si>
  <si>
    <t>Dados do Café a ser dado como Garantia</t>
  </si>
  <si>
    <t>Pais de Origem</t>
  </si>
  <si>
    <t>Outros_Agrupado</t>
  </si>
  <si>
    <t>Tipo Variedade</t>
  </si>
  <si>
    <t>Outras_Raras</t>
  </si>
  <si>
    <t>Tipo Processamento</t>
  </si>
  <si>
    <t>Faixa de Altitude do Cultivo</t>
  </si>
  <si>
    <t>Quantidade de Sacas de Café a ser dada como Garantia</t>
  </si>
  <si>
    <t>Qte de Sacas de 60kg</t>
  </si>
  <si>
    <t>Resultado</t>
  </si>
  <si>
    <t>Valor Aproximado da Garantia</t>
  </si>
  <si>
    <t>Valor máximo a ser liberado para empréstimo</t>
  </si>
  <si>
    <t>1) Quais as características do café aumentam a propensão dele ser do tipo Premium?</t>
  </si>
  <si>
    <t>2) Para construir a calculadora solicitada conforme exemplo acima. A ideia é que o usuário informe as 5 primeiras informações (de País de Origem até a qte de Sacas de 60kg) e a calculadora possa fornecer as duas informações (Valor Aproximado da Garantia e Valor máximo a ser liberado para empréstimo).</t>
  </si>
  <si>
    <t>Contagem de Tipo_Qualidade</t>
  </si>
  <si>
    <t>Total Result</t>
  </si>
  <si>
    <t>Information Value</t>
  </si>
  <si>
    <t>Freq</t>
  </si>
  <si>
    <t>ODD</t>
  </si>
  <si>
    <t>IV</t>
  </si>
  <si>
    <t>Baixo poder preditivo</t>
  </si>
  <si>
    <t>Rótulos de Coluna</t>
  </si>
  <si>
    <t>Pais_Origem (agrupado, min. 15 obs.)</t>
  </si>
  <si>
    <t>Total Geral</t>
  </si>
  <si>
    <t>Tipo_Variedade (agrupado, min. 15 obs.)</t>
  </si>
  <si>
    <t>Calculando o WoE (Weight of Evidences)</t>
  </si>
  <si>
    <t>Woe</t>
  </si>
  <si>
    <t>WoE</t>
  </si>
  <si>
    <t>ln_odds_base</t>
  </si>
  <si>
    <t>WoE_Pais_Origem</t>
  </si>
  <si>
    <t>WoE_Pais_Tipo_Processmaento</t>
  </si>
  <si>
    <t>WoE_Faixa_Altitude</t>
  </si>
  <si>
    <t>WoE_Variedade</t>
  </si>
  <si>
    <t>ln_odds_Total</t>
  </si>
  <si>
    <t>Odds</t>
  </si>
  <si>
    <t>Probabilidade</t>
  </si>
  <si>
    <t>Valor da saca Premium de 60kg</t>
  </si>
  <si>
    <t>Valor da saca Normal de 60kg</t>
  </si>
  <si>
    <t>Validação do modelo: probabilidade prevista (WOE) x probabilidade real observada</t>
  </si>
  <si>
    <t>Pais</t>
  </si>
  <si>
    <t>Variedade</t>
  </si>
  <si>
    <t>Processamento</t>
  </si>
  <si>
    <t>Altitude</t>
  </si>
  <si>
    <t>N (registros)</t>
  </si>
  <si>
    <t>P(Premium) Real</t>
  </si>
  <si>
    <t>P(Premium) Modelo</t>
  </si>
  <si>
    <t>Diferença (Modelo - Real)</t>
  </si>
  <si>
    <t>Erro absoluto médio (MAE):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</si>
</sst>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 &quot;* #,##0.00_-;&quot;-R$ &quot;* #,##0.00_-;_-&quot;R$ &quot;* \-??_-;_-@_-"/>
    <numFmt numFmtId="165" formatCode="0.000000000000000%"/>
    <numFmt numFmtId="166" formatCode="0.000"/>
    <numFmt numFmtId="167" formatCode="_-[$R$-416]\ * #,##0.00_-;\-[$R$-416]\ * #,##0.00_-;_-[$R$-416]\ * \-??_-;_-@_-"/>
  </numFmts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0"/>
      <color rgb="FF171717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D7E4BD"/>
      </patternFill>
    </fill>
    <fill>
      <patternFill patternType="solid">
        <fgColor theme="4" tint="0.79979857783745845"/>
        <bgColor rgb="FFE6E0EC"/>
      </patternFill>
    </fill>
    <fill>
      <patternFill patternType="solid">
        <fgColor theme="0" tint="-0.14999847407452621"/>
        <bgColor rgb="FFE6E0EC"/>
      </patternFill>
    </fill>
    <fill>
      <patternFill patternType="solid">
        <fgColor theme="7" tint="0.79979857783745845"/>
        <bgColor rgb="FFDCE6F2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6" tint="0.39988402966399123"/>
        <bgColor rgb="FFC6E0B4"/>
      </patternFill>
    </fill>
    <fill>
      <patternFill patternType="solid">
        <fgColor theme="6" tint="0.59987182226020086"/>
        <bgColor rgb="FFC6E0B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9" fillId="0" borderId="0">
      <alignment horizontal="left"/>
    </xf>
    <xf numFmtId="0" fontId="9" fillId="0" borderId="0"/>
    <xf numFmtId="0" fontId="9" fillId="0" borderId="0"/>
    <xf numFmtId="0" fontId="1" fillId="0" borderId="0"/>
    <xf numFmtId="0" fontId="1" fillId="0" borderId="0">
      <alignment horizontal="left"/>
    </xf>
    <xf numFmtId="0" fontId="9" fillId="0" borderId="0"/>
  </cellStyleXfs>
  <cellXfs count="63">
    <xf numFmtId="0" fontId="0" fillId="0" borderId="0" xfId="0"/>
    <xf numFmtId="0" fontId="2" fillId="0" borderId="0" xfId="0" applyFont="1" applyAlignment="1"/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/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2" xfId="2" applyFont="1" applyBorder="1"/>
    <xf numFmtId="0" fontId="0" fillId="0" borderId="3" xfId="3" applyFont="1" applyBorder="1"/>
    <xf numFmtId="0" fontId="9" fillId="0" borderId="4" xfId="2" applyBorder="1"/>
    <xf numFmtId="0" fontId="9" fillId="0" borderId="5" xfId="2" applyBorder="1"/>
    <xf numFmtId="0" fontId="0" fillId="0" borderId="6" xfId="3" applyFont="1" applyBorder="1"/>
    <xf numFmtId="0" fontId="0" fillId="0" borderId="7" xfId="1" applyFont="1" applyBorder="1">
      <alignment horizontal="left"/>
    </xf>
    <xf numFmtId="0" fontId="0" fillId="0" borderId="8" xfId="1" applyFont="1" applyBorder="1">
      <alignment horizontal="left"/>
    </xf>
    <xf numFmtId="0" fontId="1" fillId="0" borderId="9" xfId="5" applyFont="1" applyBorder="1">
      <alignment horizontal="left"/>
    </xf>
    <xf numFmtId="0" fontId="0" fillId="0" borderId="10" xfId="1" applyFont="1" applyBorder="1">
      <alignment horizontal="left"/>
    </xf>
    <xf numFmtId="0" fontId="9" fillId="0" borderId="11" xfId="6" applyBorder="1"/>
    <xf numFmtId="0" fontId="9" fillId="0" borderId="12" xfId="6" applyBorder="1"/>
    <xf numFmtId="0" fontId="1" fillId="0" borderId="13" xfId="4" applyBorder="1"/>
    <xf numFmtId="0" fontId="0" fillId="0" borderId="14" xfId="1" applyFont="1" applyBorder="1">
      <alignment horizontal="left"/>
    </xf>
    <xf numFmtId="0" fontId="9" fillId="0" borderId="15" xfId="6" applyBorder="1"/>
    <xf numFmtId="0" fontId="9" fillId="0" borderId="16" xfId="6" applyBorder="1"/>
    <xf numFmtId="0" fontId="1" fillId="0" borderId="17" xfId="4" applyBorder="1"/>
    <xf numFmtId="0" fontId="9" fillId="0" borderId="7" xfId="6" applyBorder="1"/>
    <xf numFmtId="0" fontId="9" fillId="0" borderId="18" xfId="6" applyBorder="1"/>
    <xf numFmtId="0" fontId="1" fillId="0" borderId="19" xfId="4" applyBorder="1"/>
    <xf numFmtId="0" fontId="1" fillId="0" borderId="20" xfId="5" applyFont="1" applyBorder="1">
      <alignment horizontal="left"/>
    </xf>
    <xf numFmtId="0" fontId="1" fillId="0" borderId="21" xfId="4" applyBorder="1"/>
    <xf numFmtId="0" fontId="1" fillId="0" borderId="22" xfId="4" applyBorder="1"/>
    <xf numFmtId="0" fontId="1" fillId="0" borderId="23" xfId="4" applyBorder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5" borderId="0" xfId="0" applyFont="1" applyFill="1" applyAlignment="1"/>
    <xf numFmtId="0" fontId="1" fillId="0" borderId="0" xfId="0" applyFont="1" applyAlignment="1"/>
    <xf numFmtId="9" fontId="0" fillId="0" borderId="0" xfId="0" applyNumberFormat="1" applyAlignment="1"/>
    <xf numFmtId="165" fontId="0" fillId="0" borderId="0" xfId="0" applyNumberFormat="1" applyAlignment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8" fillId="0" borderId="0" xfId="0" applyFont="1" applyAlignment="1"/>
    <xf numFmtId="166" fontId="0" fillId="0" borderId="0" xfId="0" applyNumberFormat="1" applyAlignment="1">
      <alignment horizontal="center"/>
    </xf>
    <xf numFmtId="0" fontId="0" fillId="0" borderId="0" xfId="0" applyAlignment="1"/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1" fillId="3" borderId="4" xfId="0" applyFont="1" applyFill="1" applyBorder="1" applyAlignment="1"/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8" borderId="0" xfId="0" applyFont="1" applyFill="1" applyAlignment="1"/>
    <xf numFmtId="0" fontId="1" fillId="8" borderId="0" xfId="0" applyFont="1" applyFill="1" applyAlignment="1"/>
    <xf numFmtId="167" fontId="0" fillId="0" borderId="0" xfId="0" applyNumberFormat="1" applyAlignment="1"/>
    <xf numFmtId="0" fontId="5" fillId="0" borderId="0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DCE6F2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862" xr:uid="{00000000-000A-0000-FFFF-FFFF01000000}">
  <cacheSource type="worksheet">
    <worksheetSource ref="A1:E863" sheet="Base"/>
  </cacheSource>
  <cacheFields count="5">
    <cacheField name="Pais_Origem" numFmtId="0">
      <sharedItems count="23">
        <s v="Brazil"/>
        <s v="China"/>
        <s v="Colombia"/>
        <s v="Costa Rica"/>
        <s v="El Salvador"/>
        <s v="Ethiopia"/>
        <s v="Guatemala"/>
        <s v="Haiti"/>
        <s v="Honduras"/>
        <s v="Indonesia"/>
        <s v="Kenya"/>
        <s v="Malawi"/>
        <s v="Mexico"/>
        <s v="Myanmar"/>
        <s v="Nicaragua"/>
        <s v="Others"/>
        <s v="Peru"/>
        <s v="Taiwan"/>
        <s v="Tanzania, United Republic Of"/>
        <s v="Thailand"/>
        <s v="Uganda"/>
        <s v="United States"/>
        <s v="Vietnam"/>
      </sharedItems>
    </cacheField>
    <cacheField name="Tipo_Variedade" numFmtId="0">
      <sharedItems count="19">
        <s v="Arusha"/>
        <s v="Blue Mountain"/>
        <s v="Bourbon"/>
        <s v="Catimor"/>
        <s v="Catuai"/>
        <s v="Caturra"/>
        <s v="Ethiopian Yirgacheffe"/>
        <s v="Gesha"/>
        <s v="Java"/>
        <s v="Mandheling"/>
        <s v="Mundo Novo"/>
        <s v="Outro"/>
        <s v="Pacamara"/>
        <s v="Pacas"/>
        <s v="Peaberry"/>
        <s v="Ruiru 11"/>
        <s v="Sumatra"/>
        <s v="Typica"/>
        <s v="Yellow Bourbon"/>
      </sharedItems>
    </cacheField>
    <cacheField name="Tipo_Processamento" numFmtId="0">
      <sharedItems count="4">
        <s v="Natural / Dry"/>
        <s v="Pulped natural / honey"/>
        <s v="Semi-washed / Semi-pulped"/>
        <s v="Washed / Wet"/>
      </sharedItems>
    </cacheField>
    <cacheField name="Faixa de Altitude" numFmtId="0">
      <sharedItems count="7">
        <s v="&lt;700"/>
        <s v="1100-1300"/>
        <s v="1300-1500"/>
        <s v="1500-1700"/>
        <s v="1700-1900"/>
        <s v="700-900"/>
        <s v="900-1100"/>
      </sharedItems>
    </cacheField>
    <cacheField name="Tipo_Qualidade" numFmtId="0">
      <sharedItems count="2">
        <s v="Normal"/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2">
  <r>
    <x v="15"/>
    <x v="3"/>
    <x v="3"/>
    <x v="2"/>
    <x v="1"/>
  </r>
  <r>
    <x v="0"/>
    <x v="18"/>
    <x v="2"/>
    <x v="1"/>
    <x v="1"/>
  </r>
  <r>
    <x v="12"/>
    <x v="17"/>
    <x v="3"/>
    <x v="2"/>
    <x v="1"/>
  </r>
  <r>
    <x v="6"/>
    <x v="4"/>
    <x v="3"/>
    <x v="2"/>
    <x v="0"/>
  </r>
  <r>
    <x v="6"/>
    <x v="2"/>
    <x v="3"/>
    <x v="2"/>
    <x v="0"/>
  </r>
  <r>
    <x v="2"/>
    <x v="5"/>
    <x v="3"/>
    <x v="4"/>
    <x v="1"/>
  </r>
  <r>
    <x v="12"/>
    <x v="17"/>
    <x v="3"/>
    <x v="2"/>
    <x v="0"/>
  </r>
  <r>
    <x v="12"/>
    <x v="17"/>
    <x v="3"/>
    <x v="3"/>
    <x v="0"/>
  </r>
  <r>
    <x v="6"/>
    <x v="5"/>
    <x v="3"/>
    <x v="1"/>
    <x v="1"/>
  </r>
  <r>
    <x v="0"/>
    <x v="10"/>
    <x v="0"/>
    <x v="6"/>
    <x v="0"/>
  </r>
  <r>
    <x v="6"/>
    <x v="4"/>
    <x v="3"/>
    <x v="2"/>
    <x v="0"/>
  </r>
  <r>
    <x v="0"/>
    <x v="4"/>
    <x v="2"/>
    <x v="1"/>
    <x v="1"/>
  </r>
  <r>
    <x v="18"/>
    <x v="11"/>
    <x v="3"/>
    <x v="4"/>
    <x v="0"/>
  </r>
  <r>
    <x v="6"/>
    <x v="2"/>
    <x v="3"/>
    <x v="2"/>
    <x v="1"/>
  </r>
  <r>
    <x v="6"/>
    <x v="11"/>
    <x v="3"/>
    <x v="1"/>
    <x v="0"/>
  </r>
  <r>
    <x v="2"/>
    <x v="5"/>
    <x v="0"/>
    <x v="0"/>
    <x v="1"/>
  </r>
  <r>
    <x v="21"/>
    <x v="11"/>
    <x v="3"/>
    <x v="4"/>
    <x v="1"/>
  </r>
  <r>
    <x v="2"/>
    <x v="5"/>
    <x v="3"/>
    <x v="4"/>
    <x v="1"/>
  </r>
  <r>
    <x v="12"/>
    <x v="17"/>
    <x v="3"/>
    <x v="2"/>
    <x v="0"/>
  </r>
  <r>
    <x v="20"/>
    <x v="11"/>
    <x v="3"/>
    <x v="4"/>
    <x v="1"/>
  </r>
  <r>
    <x v="6"/>
    <x v="13"/>
    <x v="3"/>
    <x v="3"/>
    <x v="0"/>
  </r>
  <r>
    <x v="12"/>
    <x v="17"/>
    <x v="0"/>
    <x v="1"/>
    <x v="0"/>
  </r>
  <r>
    <x v="12"/>
    <x v="17"/>
    <x v="3"/>
    <x v="2"/>
    <x v="0"/>
  </r>
  <r>
    <x v="6"/>
    <x v="5"/>
    <x v="3"/>
    <x v="3"/>
    <x v="1"/>
  </r>
  <r>
    <x v="2"/>
    <x v="5"/>
    <x v="0"/>
    <x v="0"/>
    <x v="0"/>
  </r>
  <r>
    <x v="0"/>
    <x v="10"/>
    <x v="0"/>
    <x v="1"/>
    <x v="0"/>
  </r>
  <r>
    <x v="12"/>
    <x v="17"/>
    <x v="3"/>
    <x v="2"/>
    <x v="1"/>
  </r>
  <r>
    <x v="0"/>
    <x v="4"/>
    <x v="3"/>
    <x v="1"/>
    <x v="0"/>
  </r>
  <r>
    <x v="0"/>
    <x v="2"/>
    <x v="0"/>
    <x v="5"/>
    <x v="0"/>
  </r>
  <r>
    <x v="8"/>
    <x v="5"/>
    <x v="3"/>
    <x v="2"/>
    <x v="0"/>
  </r>
  <r>
    <x v="8"/>
    <x v="5"/>
    <x v="0"/>
    <x v="2"/>
    <x v="0"/>
  </r>
  <r>
    <x v="2"/>
    <x v="5"/>
    <x v="3"/>
    <x v="4"/>
    <x v="1"/>
  </r>
  <r>
    <x v="0"/>
    <x v="2"/>
    <x v="2"/>
    <x v="2"/>
    <x v="1"/>
  </r>
  <r>
    <x v="4"/>
    <x v="2"/>
    <x v="3"/>
    <x v="3"/>
    <x v="1"/>
  </r>
  <r>
    <x v="2"/>
    <x v="5"/>
    <x v="3"/>
    <x v="4"/>
    <x v="1"/>
  </r>
  <r>
    <x v="6"/>
    <x v="2"/>
    <x v="3"/>
    <x v="3"/>
    <x v="1"/>
  </r>
  <r>
    <x v="12"/>
    <x v="12"/>
    <x v="3"/>
    <x v="2"/>
    <x v="0"/>
  </r>
  <r>
    <x v="6"/>
    <x v="2"/>
    <x v="3"/>
    <x v="3"/>
    <x v="1"/>
  </r>
  <r>
    <x v="6"/>
    <x v="2"/>
    <x v="3"/>
    <x v="1"/>
    <x v="0"/>
  </r>
  <r>
    <x v="17"/>
    <x v="11"/>
    <x v="3"/>
    <x v="0"/>
    <x v="0"/>
  </r>
  <r>
    <x v="12"/>
    <x v="17"/>
    <x v="3"/>
    <x v="1"/>
    <x v="0"/>
  </r>
  <r>
    <x v="0"/>
    <x v="4"/>
    <x v="2"/>
    <x v="1"/>
    <x v="1"/>
  </r>
  <r>
    <x v="18"/>
    <x v="2"/>
    <x v="3"/>
    <x v="3"/>
    <x v="1"/>
  </r>
  <r>
    <x v="18"/>
    <x v="0"/>
    <x v="3"/>
    <x v="2"/>
    <x v="1"/>
  </r>
  <r>
    <x v="8"/>
    <x v="5"/>
    <x v="3"/>
    <x v="2"/>
    <x v="0"/>
  </r>
  <r>
    <x v="6"/>
    <x v="2"/>
    <x v="3"/>
    <x v="2"/>
    <x v="0"/>
  </r>
  <r>
    <x v="6"/>
    <x v="5"/>
    <x v="3"/>
    <x v="1"/>
    <x v="1"/>
  </r>
  <r>
    <x v="12"/>
    <x v="17"/>
    <x v="3"/>
    <x v="3"/>
    <x v="0"/>
  </r>
  <r>
    <x v="12"/>
    <x v="17"/>
    <x v="3"/>
    <x v="3"/>
    <x v="1"/>
  </r>
  <r>
    <x v="12"/>
    <x v="17"/>
    <x v="2"/>
    <x v="2"/>
    <x v="0"/>
  </r>
  <r>
    <x v="2"/>
    <x v="5"/>
    <x v="3"/>
    <x v="0"/>
    <x v="1"/>
  </r>
  <r>
    <x v="6"/>
    <x v="2"/>
    <x v="3"/>
    <x v="2"/>
    <x v="0"/>
  </r>
  <r>
    <x v="3"/>
    <x v="5"/>
    <x v="3"/>
    <x v="4"/>
    <x v="1"/>
  </r>
  <r>
    <x v="0"/>
    <x v="2"/>
    <x v="3"/>
    <x v="1"/>
    <x v="1"/>
  </r>
  <r>
    <x v="2"/>
    <x v="5"/>
    <x v="3"/>
    <x v="4"/>
    <x v="1"/>
  </r>
  <r>
    <x v="4"/>
    <x v="13"/>
    <x v="3"/>
    <x v="1"/>
    <x v="1"/>
  </r>
  <r>
    <x v="6"/>
    <x v="2"/>
    <x v="3"/>
    <x v="2"/>
    <x v="0"/>
  </r>
  <r>
    <x v="6"/>
    <x v="13"/>
    <x v="3"/>
    <x v="3"/>
    <x v="0"/>
  </r>
  <r>
    <x v="18"/>
    <x v="2"/>
    <x v="3"/>
    <x v="4"/>
    <x v="1"/>
  </r>
  <r>
    <x v="12"/>
    <x v="17"/>
    <x v="3"/>
    <x v="1"/>
    <x v="0"/>
  </r>
  <r>
    <x v="6"/>
    <x v="11"/>
    <x v="3"/>
    <x v="1"/>
    <x v="0"/>
  </r>
  <r>
    <x v="3"/>
    <x v="5"/>
    <x v="3"/>
    <x v="2"/>
    <x v="1"/>
  </r>
  <r>
    <x v="0"/>
    <x v="10"/>
    <x v="0"/>
    <x v="1"/>
    <x v="0"/>
  </r>
  <r>
    <x v="6"/>
    <x v="2"/>
    <x v="3"/>
    <x v="1"/>
    <x v="1"/>
  </r>
  <r>
    <x v="12"/>
    <x v="17"/>
    <x v="3"/>
    <x v="2"/>
    <x v="0"/>
  </r>
  <r>
    <x v="12"/>
    <x v="17"/>
    <x v="0"/>
    <x v="4"/>
    <x v="0"/>
  </r>
  <r>
    <x v="8"/>
    <x v="4"/>
    <x v="3"/>
    <x v="3"/>
    <x v="1"/>
  </r>
  <r>
    <x v="8"/>
    <x v="4"/>
    <x v="3"/>
    <x v="3"/>
    <x v="0"/>
  </r>
  <r>
    <x v="19"/>
    <x v="3"/>
    <x v="3"/>
    <x v="1"/>
    <x v="1"/>
  </r>
  <r>
    <x v="18"/>
    <x v="11"/>
    <x v="3"/>
    <x v="3"/>
    <x v="0"/>
  </r>
  <r>
    <x v="3"/>
    <x v="5"/>
    <x v="3"/>
    <x v="4"/>
    <x v="1"/>
  </r>
  <r>
    <x v="15"/>
    <x v="7"/>
    <x v="3"/>
    <x v="3"/>
    <x v="1"/>
  </r>
  <r>
    <x v="6"/>
    <x v="5"/>
    <x v="3"/>
    <x v="2"/>
    <x v="0"/>
  </r>
  <r>
    <x v="3"/>
    <x v="4"/>
    <x v="1"/>
    <x v="4"/>
    <x v="0"/>
  </r>
  <r>
    <x v="2"/>
    <x v="5"/>
    <x v="3"/>
    <x v="0"/>
    <x v="1"/>
  </r>
  <r>
    <x v="17"/>
    <x v="17"/>
    <x v="3"/>
    <x v="0"/>
    <x v="0"/>
  </r>
  <r>
    <x v="2"/>
    <x v="5"/>
    <x v="3"/>
    <x v="4"/>
    <x v="1"/>
  </r>
  <r>
    <x v="7"/>
    <x v="1"/>
    <x v="3"/>
    <x v="5"/>
    <x v="0"/>
  </r>
  <r>
    <x v="0"/>
    <x v="10"/>
    <x v="2"/>
    <x v="6"/>
    <x v="1"/>
  </r>
  <r>
    <x v="18"/>
    <x v="11"/>
    <x v="3"/>
    <x v="2"/>
    <x v="1"/>
  </r>
  <r>
    <x v="12"/>
    <x v="12"/>
    <x v="3"/>
    <x v="6"/>
    <x v="1"/>
  </r>
  <r>
    <x v="2"/>
    <x v="5"/>
    <x v="3"/>
    <x v="4"/>
    <x v="1"/>
  </r>
  <r>
    <x v="2"/>
    <x v="5"/>
    <x v="3"/>
    <x v="4"/>
    <x v="1"/>
  </r>
  <r>
    <x v="12"/>
    <x v="5"/>
    <x v="3"/>
    <x v="1"/>
    <x v="0"/>
  </r>
  <r>
    <x v="2"/>
    <x v="5"/>
    <x v="3"/>
    <x v="4"/>
    <x v="0"/>
  </r>
  <r>
    <x v="6"/>
    <x v="2"/>
    <x v="3"/>
    <x v="2"/>
    <x v="0"/>
  </r>
  <r>
    <x v="0"/>
    <x v="2"/>
    <x v="0"/>
    <x v="5"/>
    <x v="1"/>
  </r>
  <r>
    <x v="14"/>
    <x v="5"/>
    <x v="3"/>
    <x v="1"/>
    <x v="0"/>
  </r>
  <r>
    <x v="17"/>
    <x v="17"/>
    <x v="3"/>
    <x v="1"/>
    <x v="1"/>
  </r>
  <r>
    <x v="12"/>
    <x v="17"/>
    <x v="3"/>
    <x v="2"/>
    <x v="0"/>
  </r>
  <r>
    <x v="17"/>
    <x v="17"/>
    <x v="3"/>
    <x v="0"/>
    <x v="0"/>
  </r>
  <r>
    <x v="0"/>
    <x v="10"/>
    <x v="0"/>
    <x v="6"/>
    <x v="0"/>
  </r>
  <r>
    <x v="12"/>
    <x v="17"/>
    <x v="0"/>
    <x v="0"/>
    <x v="0"/>
  </r>
  <r>
    <x v="8"/>
    <x v="13"/>
    <x v="3"/>
    <x v="2"/>
    <x v="0"/>
  </r>
  <r>
    <x v="6"/>
    <x v="5"/>
    <x v="3"/>
    <x v="1"/>
    <x v="1"/>
  </r>
  <r>
    <x v="12"/>
    <x v="17"/>
    <x v="3"/>
    <x v="2"/>
    <x v="0"/>
  </r>
  <r>
    <x v="12"/>
    <x v="17"/>
    <x v="3"/>
    <x v="3"/>
    <x v="0"/>
  </r>
  <r>
    <x v="2"/>
    <x v="11"/>
    <x v="3"/>
    <x v="4"/>
    <x v="1"/>
  </r>
  <r>
    <x v="0"/>
    <x v="2"/>
    <x v="0"/>
    <x v="5"/>
    <x v="1"/>
  </r>
  <r>
    <x v="9"/>
    <x v="11"/>
    <x v="2"/>
    <x v="2"/>
    <x v="1"/>
  </r>
  <r>
    <x v="2"/>
    <x v="5"/>
    <x v="3"/>
    <x v="4"/>
    <x v="1"/>
  </r>
  <r>
    <x v="11"/>
    <x v="5"/>
    <x v="3"/>
    <x v="6"/>
    <x v="0"/>
  </r>
  <r>
    <x v="8"/>
    <x v="11"/>
    <x v="3"/>
    <x v="3"/>
    <x v="0"/>
  </r>
  <r>
    <x v="2"/>
    <x v="5"/>
    <x v="3"/>
    <x v="4"/>
    <x v="1"/>
  </r>
  <r>
    <x v="17"/>
    <x v="17"/>
    <x v="3"/>
    <x v="5"/>
    <x v="1"/>
  </r>
  <r>
    <x v="0"/>
    <x v="4"/>
    <x v="0"/>
    <x v="6"/>
    <x v="1"/>
  </r>
  <r>
    <x v="14"/>
    <x v="5"/>
    <x v="3"/>
    <x v="1"/>
    <x v="0"/>
  </r>
  <r>
    <x v="3"/>
    <x v="5"/>
    <x v="3"/>
    <x v="1"/>
    <x v="0"/>
  </r>
  <r>
    <x v="3"/>
    <x v="5"/>
    <x v="3"/>
    <x v="4"/>
    <x v="1"/>
  </r>
  <r>
    <x v="12"/>
    <x v="2"/>
    <x v="3"/>
    <x v="3"/>
    <x v="0"/>
  </r>
  <r>
    <x v="1"/>
    <x v="11"/>
    <x v="3"/>
    <x v="1"/>
    <x v="1"/>
  </r>
  <r>
    <x v="12"/>
    <x v="5"/>
    <x v="3"/>
    <x v="3"/>
    <x v="1"/>
  </r>
  <r>
    <x v="2"/>
    <x v="5"/>
    <x v="3"/>
    <x v="4"/>
    <x v="1"/>
  </r>
  <r>
    <x v="2"/>
    <x v="5"/>
    <x v="3"/>
    <x v="4"/>
    <x v="1"/>
  </r>
  <r>
    <x v="12"/>
    <x v="17"/>
    <x v="0"/>
    <x v="1"/>
    <x v="0"/>
  </r>
  <r>
    <x v="17"/>
    <x v="17"/>
    <x v="2"/>
    <x v="0"/>
    <x v="0"/>
  </r>
  <r>
    <x v="12"/>
    <x v="12"/>
    <x v="3"/>
    <x v="6"/>
    <x v="1"/>
  </r>
  <r>
    <x v="12"/>
    <x v="10"/>
    <x v="3"/>
    <x v="1"/>
    <x v="0"/>
  </r>
  <r>
    <x v="6"/>
    <x v="5"/>
    <x v="3"/>
    <x v="2"/>
    <x v="0"/>
  </r>
  <r>
    <x v="6"/>
    <x v="2"/>
    <x v="3"/>
    <x v="3"/>
    <x v="1"/>
  </r>
  <r>
    <x v="12"/>
    <x v="2"/>
    <x v="3"/>
    <x v="2"/>
    <x v="1"/>
  </r>
  <r>
    <x v="2"/>
    <x v="5"/>
    <x v="3"/>
    <x v="3"/>
    <x v="1"/>
  </r>
  <r>
    <x v="7"/>
    <x v="17"/>
    <x v="3"/>
    <x v="6"/>
    <x v="0"/>
  </r>
  <r>
    <x v="3"/>
    <x v="4"/>
    <x v="3"/>
    <x v="2"/>
    <x v="1"/>
  </r>
  <r>
    <x v="6"/>
    <x v="11"/>
    <x v="3"/>
    <x v="1"/>
    <x v="0"/>
  </r>
  <r>
    <x v="6"/>
    <x v="5"/>
    <x v="3"/>
    <x v="1"/>
    <x v="0"/>
  </r>
  <r>
    <x v="21"/>
    <x v="11"/>
    <x v="3"/>
    <x v="4"/>
    <x v="1"/>
  </r>
  <r>
    <x v="12"/>
    <x v="2"/>
    <x v="3"/>
    <x v="1"/>
    <x v="0"/>
  </r>
  <r>
    <x v="0"/>
    <x v="18"/>
    <x v="2"/>
    <x v="1"/>
    <x v="0"/>
  </r>
  <r>
    <x v="0"/>
    <x v="2"/>
    <x v="0"/>
    <x v="5"/>
    <x v="1"/>
  </r>
  <r>
    <x v="12"/>
    <x v="17"/>
    <x v="3"/>
    <x v="1"/>
    <x v="0"/>
  </r>
  <r>
    <x v="6"/>
    <x v="2"/>
    <x v="3"/>
    <x v="2"/>
    <x v="1"/>
  </r>
  <r>
    <x v="6"/>
    <x v="5"/>
    <x v="3"/>
    <x v="3"/>
    <x v="1"/>
  </r>
  <r>
    <x v="6"/>
    <x v="2"/>
    <x v="3"/>
    <x v="2"/>
    <x v="0"/>
  </r>
  <r>
    <x v="8"/>
    <x v="4"/>
    <x v="3"/>
    <x v="2"/>
    <x v="0"/>
  </r>
  <r>
    <x v="18"/>
    <x v="11"/>
    <x v="3"/>
    <x v="3"/>
    <x v="1"/>
  </r>
  <r>
    <x v="5"/>
    <x v="7"/>
    <x v="0"/>
    <x v="4"/>
    <x v="1"/>
  </r>
  <r>
    <x v="0"/>
    <x v="2"/>
    <x v="0"/>
    <x v="1"/>
    <x v="0"/>
  </r>
  <r>
    <x v="11"/>
    <x v="7"/>
    <x v="3"/>
    <x v="1"/>
    <x v="0"/>
  </r>
  <r>
    <x v="2"/>
    <x v="5"/>
    <x v="0"/>
    <x v="0"/>
    <x v="1"/>
  </r>
  <r>
    <x v="0"/>
    <x v="10"/>
    <x v="3"/>
    <x v="6"/>
    <x v="0"/>
  </r>
  <r>
    <x v="2"/>
    <x v="5"/>
    <x v="0"/>
    <x v="3"/>
    <x v="0"/>
  </r>
  <r>
    <x v="17"/>
    <x v="16"/>
    <x v="1"/>
    <x v="1"/>
    <x v="1"/>
  </r>
  <r>
    <x v="2"/>
    <x v="5"/>
    <x v="3"/>
    <x v="4"/>
    <x v="1"/>
  </r>
  <r>
    <x v="2"/>
    <x v="5"/>
    <x v="3"/>
    <x v="3"/>
    <x v="1"/>
  </r>
  <r>
    <x v="6"/>
    <x v="2"/>
    <x v="0"/>
    <x v="1"/>
    <x v="1"/>
  </r>
  <r>
    <x v="2"/>
    <x v="5"/>
    <x v="0"/>
    <x v="6"/>
    <x v="1"/>
  </r>
  <r>
    <x v="19"/>
    <x v="5"/>
    <x v="3"/>
    <x v="2"/>
    <x v="1"/>
  </r>
  <r>
    <x v="2"/>
    <x v="5"/>
    <x v="0"/>
    <x v="4"/>
    <x v="1"/>
  </r>
  <r>
    <x v="17"/>
    <x v="17"/>
    <x v="3"/>
    <x v="6"/>
    <x v="1"/>
  </r>
  <r>
    <x v="12"/>
    <x v="17"/>
    <x v="0"/>
    <x v="2"/>
    <x v="0"/>
  </r>
  <r>
    <x v="17"/>
    <x v="17"/>
    <x v="3"/>
    <x v="6"/>
    <x v="1"/>
  </r>
  <r>
    <x v="12"/>
    <x v="17"/>
    <x v="3"/>
    <x v="1"/>
    <x v="0"/>
  </r>
  <r>
    <x v="12"/>
    <x v="17"/>
    <x v="3"/>
    <x v="2"/>
    <x v="0"/>
  </r>
  <r>
    <x v="3"/>
    <x v="4"/>
    <x v="3"/>
    <x v="2"/>
    <x v="0"/>
  </r>
  <r>
    <x v="18"/>
    <x v="2"/>
    <x v="3"/>
    <x v="3"/>
    <x v="0"/>
  </r>
  <r>
    <x v="2"/>
    <x v="5"/>
    <x v="3"/>
    <x v="3"/>
    <x v="1"/>
  </r>
  <r>
    <x v="11"/>
    <x v="7"/>
    <x v="3"/>
    <x v="2"/>
    <x v="0"/>
  </r>
  <r>
    <x v="16"/>
    <x v="5"/>
    <x v="3"/>
    <x v="1"/>
    <x v="0"/>
  </r>
  <r>
    <x v="2"/>
    <x v="5"/>
    <x v="3"/>
    <x v="4"/>
    <x v="1"/>
  </r>
  <r>
    <x v="4"/>
    <x v="2"/>
    <x v="2"/>
    <x v="2"/>
    <x v="1"/>
  </r>
  <r>
    <x v="12"/>
    <x v="11"/>
    <x v="3"/>
    <x v="1"/>
    <x v="0"/>
  </r>
  <r>
    <x v="12"/>
    <x v="11"/>
    <x v="3"/>
    <x v="3"/>
    <x v="1"/>
  </r>
  <r>
    <x v="2"/>
    <x v="11"/>
    <x v="3"/>
    <x v="3"/>
    <x v="1"/>
  </r>
  <r>
    <x v="14"/>
    <x v="4"/>
    <x v="3"/>
    <x v="1"/>
    <x v="0"/>
  </r>
  <r>
    <x v="15"/>
    <x v="4"/>
    <x v="3"/>
    <x v="1"/>
    <x v="1"/>
  </r>
  <r>
    <x v="0"/>
    <x v="2"/>
    <x v="0"/>
    <x v="6"/>
    <x v="0"/>
  </r>
  <r>
    <x v="6"/>
    <x v="2"/>
    <x v="3"/>
    <x v="2"/>
    <x v="0"/>
  </r>
  <r>
    <x v="2"/>
    <x v="5"/>
    <x v="3"/>
    <x v="4"/>
    <x v="1"/>
  </r>
  <r>
    <x v="12"/>
    <x v="17"/>
    <x v="0"/>
    <x v="3"/>
    <x v="0"/>
  </r>
  <r>
    <x v="12"/>
    <x v="17"/>
    <x v="3"/>
    <x v="1"/>
    <x v="0"/>
  </r>
  <r>
    <x v="18"/>
    <x v="11"/>
    <x v="3"/>
    <x v="2"/>
    <x v="0"/>
  </r>
  <r>
    <x v="12"/>
    <x v="17"/>
    <x v="3"/>
    <x v="1"/>
    <x v="0"/>
  </r>
  <r>
    <x v="12"/>
    <x v="5"/>
    <x v="3"/>
    <x v="1"/>
    <x v="0"/>
  </r>
  <r>
    <x v="0"/>
    <x v="2"/>
    <x v="0"/>
    <x v="1"/>
    <x v="0"/>
  </r>
  <r>
    <x v="2"/>
    <x v="5"/>
    <x v="3"/>
    <x v="4"/>
    <x v="1"/>
  </r>
  <r>
    <x v="0"/>
    <x v="2"/>
    <x v="0"/>
    <x v="2"/>
    <x v="1"/>
  </r>
  <r>
    <x v="6"/>
    <x v="2"/>
    <x v="3"/>
    <x v="2"/>
    <x v="0"/>
  </r>
  <r>
    <x v="8"/>
    <x v="5"/>
    <x v="0"/>
    <x v="2"/>
    <x v="1"/>
  </r>
  <r>
    <x v="20"/>
    <x v="11"/>
    <x v="3"/>
    <x v="3"/>
    <x v="1"/>
  </r>
  <r>
    <x v="12"/>
    <x v="17"/>
    <x v="3"/>
    <x v="3"/>
    <x v="0"/>
  </r>
  <r>
    <x v="8"/>
    <x v="4"/>
    <x v="3"/>
    <x v="2"/>
    <x v="0"/>
  </r>
  <r>
    <x v="3"/>
    <x v="5"/>
    <x v="3"/>
    <x v="4"/>
    <x v="0"/>
  </r>
  <r>
    <x v="17"/>
    <x v="17"/>
    <x v="3"/>
    <x v="5"/>
    <x v="0"/>
  </r>
  <r>
    <x v="12"/>
    <x v="5"/>
    <x v="3"/>
    <x v="6"/>
    <x v="1"/>
  </r>
  <r>
    <x v="2"/>
    <x v="5"/>
    <x v="3"/>
    <x v="4"/>
    <x v="1"/>
  </r>
  <r>
    <x v="1"/>
    <x v="3"/>
    <x v="3"/>
    <x v="3"/>
    <x v="1"/>
  </r>
  <r>
    <x v="2"/>
    <x v="5"/>
    <x v="3"/>
    <x v="4"/>
    <x v="1"/>
  </r>
  <r>
    <x v="12"/>
    <x v="17"/>
    <x v="3"/>
    <x v="2"/>
    <x v="0"/>
  </r>
  <r>
    <x v="12"/>
    <x v="17"/>
    <x v="3"/>
    <x v="6"/>
    <x v="0"/>
  </r>
  <r>
    <x v="2"/>
    <x v="5"/>
    <x v="3"/>
    <x v="3"/>
    <x v="1"/>
  </r>
  <r>
    <x v="19"/>
    <x v="3"/>
    <x v="0"/>
    <x v="1"/>
    <x v="1"/>
  </r>
  <r>
    <x v="6"/>
    <x v="2"/>
    <x v="3"/>
    <x v="1"/>
    <x v="0"/>
  </r>
  <r>
    <x v="20"/>
    <x v="2"/>
    <x v="0"/>
    <x v="2"/>
    <x v="1"/>
  </r>
  <r>
    <x v="12"/>
    <x v="17"/>
    <x v="0"/>
    <x v="1"/>
    <x v="1"/>
  </r>
  <r>
    <x v="12"/>
    <x v="13"/>
    <x v="0"/>
    <x v="2"/>
    <x v="1"/>
  </r>
  <r>
    <x v="2"/>
    <x v="11"/>
    <x v="3"/>
    <x v="4"/>
    <x v="1"/>
  </r>
  <r>
    <x v="17"/>
    <x v="17"/>
    <x v="3"/>
    <x v="0"/>
    <x v="0"/>
  </r>
  <r>
    <x v="17"/>
    <x v="17"/>
    <x v="3"/>
    <x v="0"/>
    <x v="0"/>
  </r>
  <r>
    <x v="17"/>
    <x v="17"/>
    <x v="3"/>
    <x v="1"/>
    <x v="1"/>
  </r>
  <r>
    <x v="12"/>
    <x v="17"/>
    <x v="3"/>
    <x v="6"/>
    <x v="1"/>
  </r>
  <r>
    <x v="17"/>
    <x v="17"/>
    <x v="3"/>
    <x v="5"/>
    <x v="0"/>
  </r>
  <r>
    <x v="3"/>
    <x v="5"/>
    <x v="3"/>
    <x v="4"/>
    <x v="0"/>
  </r>
  <r>
    <x v="12"/>
    <x v="5"/>
    <x v="3"/>
    <x v="3"/>
    <x v="0"/>
  </r>
  <r>
    <x v="9"/>
    <x v="17"/>
    <x v="3"/>
    <x v="2"/>
    <x v="1"/>
  </r>
  <r>
    <x v="12"/>
    <x v="2"/>
    <x v="3"/>
    <x v="2"/>
    <x v="0"/>
  </r>
  <r>
    <x v="15"/>
    <x v="11"/>
    <x v="3"/>
    <x v="5"/>
    <x v="0"/>
  </r>
  <r>
    <x v="2"/>
    <x v="5"/>
    <x v="3"/>
    <x v="4"/>
    <x v="1"/>
  </r>
  <r>
    <x v="17"/>
    <x v="17"/>
    <x v="0"/>
    <x v="0"/>
    <x v="0"/>
  </r>
  <r>
    <x v="6"/>
    <x v="5"/>
    <x v="3"/>
    <x v="3"/>
    <x v="0"/>
  </r>
  <r>
    <x v="12"/>
    <x v="17"/>
    <x v="2"/>
    <x v="1"/>
    <x v="1"/>
  </r>
  <r>
    <x v="17"/>
    <x v="17"/>
    <x v="3"/>
    <x v="0"/>
    <x v="0"/>
  </r>
  <r>
    <x v="6"/>
    <x v="2"/>
    <x v="3"/>
    <x v="4"/>
    <x v="0"/>
  </r>
  <r>
    <x v="3"/>
    <x v="4"/>
    <x v="3"/>
    <x v="1"/>
    <x v="0"/>
  </r>
  <r>
    <x v="21"/>
    <x v="11"/>
    <x v="3"/>
    <x v="4"/>
    <x v="1"/>
  </r>
  <r>
    <x v="6"/>
    <x v="2"/>
    <x v="3"/>
    <x v="3"/>
    <x v="0"/>
  </r>
  <r>
    <x v="14"/>
    <x v="5"/>
    <x v="3"/>
    <x v="6"/>
    <x v="0"/>
  </r>
  <r>
    <x v="6"/>
    <x v="2"/>
    <x v="3"/>
    <x v="2"/>
    <x v="0"/>
  </r>
  <r>
    <x v="12"/>
    <x v="10"/>
    <x v="3"/>
    <x v="1"/>
    <x v="0"/>
  </r>
  <r>
    <x v="6"/>
    <x v="2"/>
    <x v="3"/>
    <x v="3"/>
    <x v="0"/>
  </r>
  <r>
    <x v="15"/>
    <x v="11"/>
    <x v="3"/>
    <x v="1"/>
    <x v="1"/>
  </r>
  <r>
    <x v="18"/>
    <x v="11"/>
    <x v="3"/>
    <x v="4"/>
    <x v="0"/>
  </r>
  <r>
    <x v="6"/>
    <x v="2"/>
    <x v="3"/>
    <x v="1"/>
    <x v="0"/>
  </r>
  <r>
    <x v="12"/>
    <x v="17"/>
    <x v="3"/>
    <x v="2"/>
    <x v="0"/>
  </r>
  <r>
    <x v="3"/>
    <x v="2"/>
    <x v="2"/>
    <x v="3"/>
    <x v="1"/>
  </r>
  <r>
    <x v="6"/>
    <x v="2"/>
    <x v="3"/>
    <x v="2"/>
    <x v="1"/>
  </r>
  <r>
    <x v="2"/>
    <x v="5"/>
    <x v="3"/>
    <x v="4"/>
    <x v="1"/>
  </r>
  <r>
    <x v="12"/>
    <x v="17"/>
    <x v="3"/>
    <x v="3"/>
    <x v="0"/>
  </r>
  <r>
    <x v="15"/>
    <x v="3"/>
    <x v="3"/>
    <x v="2"/>
    <x v="0"/>
  </r>
  <r>
    <x v="6"/>
    <x v="2"/>
    <x v="3"/>
    <x v="3"/>
    <x v="1"/>
  </r>
  <r>
    <x v="6"/>
    <x v="2"/>
    <x v="3"/>
    <x v="2"/>
    <x v="1"/>
  </r>
  <r>
    <x v="0"/>
    <x v="10"/>
    <x v="0"/>
    <x v="6"/>
    <x v="1"/>
  </r>
  <r>
    <x v="15"/>
    <x v="11"/>
    <x v="3"/>
    <x v="5"/>
    <x v="1"/>
  </r>
  <r>
    <x v="18"/>
    <x v="11"/>
    <x v="3"/>
    <x v="4"/>
    <x v="1"/>
  </r>
  <r>
    <x v="0"/>
    <x v="18"/>
    <x v="2"/>
    <x v="1"/>
    <x v="1"/>
  </r>
  <r>
    <x v="12"/>
    <x v="10"/>
    <x v="0"/>
    <x v="2"/>
    <x v="0"/>
  </r>
  <r>
    <x v="20"/>
    <x v="2"/>
    <x v="0"/>
    <x v="3"/>
    <x v="1"/>
  </r>
  <r>
    <x v="6"/>
    <x v="4"/>
    <x v="3"/>
    <x v="2"/>
    <x v="1"/>
  </r>
  <r>
    <x v="0"/>
    <x v="4"/>
    <x v="0"/>
    <x v="6"/>
    <x v="0"/>
  </r>
  <r>
    <x v="18"/>
    <x v="2"/>
    <x v="3"/>
    <x v="6"/>
    <x v="0"/>
  </r>
  <r>
    <x v="12"/>
    <x v="2"/>
    <x v="3"/>
    <x v="2"/>
    <x v="0"/>
  </r>
  <r>
    <x v="6"/>
    <x v="12"/>
    <x v="0"/>
    <x v="4"/>
    <x v="1"/>
  </r>
  <r>
    <x v="1"/>
    <x v="11"/>
    <x v="3"/>
    <x v="4"/>
    <x v="0"/>
  </r>
  <r>
    <x v="1"/>
    <x v="3"/>
    <x v="3"/>
    <x v="2"/>
    <x v="1"/>
  </r>
  <r>
    <x v="3"/>
    <x v="5"/>
    <x v="3"/>
    <x v="1"/>
    <x v="1"/>
  </r>
  <r>
    <x v="6"/>
    <x v="2"/>
    <x v="3"/>
    <x v="3"/>
    <x v="0"/>
  </r>
  <r>
    <x v="12"/>
    <x v="17"/>
    <x v="3"/>
    <x v="2"/>
    <x v="1"/>
  </r>
  <r>
    <x v="0"/>
    <x v="10"/>
    <x v="0"/>
    <x v="6"/>
    <x v="0"/>
  </r>
  <r>
    <x v="0"/>
    <x v="4"/>
    <x v="0"/>
    <x v="6"/>
    <x v="1"/>
  </r>
  <r>
    <x v="6"/>
    <x v="2"/>
    <x v="3"/>
    <x v="3"/>
    <x v="1"/>
  </r>
  <r>
    <x v="12"/>
    <x v="5"/>
    <x v="3"/>
    <x v="1"/>
    <x v="0"/>
  </r>
  <r>
    <x v="2"/>
    <x v="5"/>
    <x v="0"/>
    <x v="0"/>
    <x v="1"/>
  </r>
  <r>
    <x v="17"/>
    <x v="17"/>
    <x v="3"/>
    <x v="0"/>
    <x v="1"/>
  </r>
  <r>
    <x v="12"/>
    <x v="4"/>
    <x v="3"/>
    <x v="1"/>
    <x v="0"/>
  </r>
  <r>
    <x v="12"/>
    <x v="17"/>
    <x v="3"/>
    <x v="1"/>
    <x v="0"/>
  </r>
  <r>
    <x v="17"/>
    <x v="17"/>
    <x v="2"/>
    <x v="0"/>
    <x v="0"/>
  </r>
  <r>
    <x v="12"/>
    <x v="17"/>
    <x v="3"/>
    <x v="2"/>
    <x v="1"/>
  </r>
  <r>
    <x v="12"/>
    <x v="10"/>
    <x v="3"/>
    <x v="0"/>
    <x v="0"/>
  </r>
  <r>
    <x v="12"/>
    <x v="17"/>
    <x v="3"/>
    <x v="1"/>
    <x v="0"/>
  </r>
  <r>
    <x v="12"/>
    <x v="17"/>
    <x v="0"/>
    <x v="1"/>
    <x v="1"/>
  </r>
  <r>
    <x v="2"/>
    <x v="5"/>
    <x v="3"/>
    <x v="4"/>
    <x v="0"/>
  </r>
  <r>
    <x v="6"/>
    <x v="2"/>
    <x v="3"/>
    <x v="4"/>
    <x v="1"/>
  </r>
  <r>
    <x v="7"/>
    <x v="17"/>
    <x v="3"/>
    <x v="1"/>
    <x v="1"/>
  </r>
  <r>
    <x v="8"/>
    <x v="4"/>
    <x v="0"/>
    <x v="2"/>
    <x v="0"/>
  </r>
  <r>
    <x v="3"/>
    <x v="5"/>
    <x v="3"/>
    <x v="2"/>
    <x v="0"/>
  </r>
  <r>
    <x v="6"/>
    <x v="2"/>
    <x v="3"/>
    <x v="1"/>
    <x v="1"/>
  </r>
  <r>
    <x v="12"/>
    <x v="17"/>
    <x v="3"/>
    <x v="1"/>
    <x v="0"/>
  </r>
  <r>
    <x v="0"/>
    <x v="2"/>
    <x v="2"/>
    <x v="1"/>
    <x v="0"/>
  </r>
  <r>
    <x v="8"/>
    <x v="4"/>
    <x v="3"/>
    <x v="2"/>
    <x v="0"/>
  </r>
  <r>
    <x v="12"/>
    <x v="11"/>
    <x v="3"/>
    <x v="2"/>
    <x v="1"/>
  </r>
  <r>
    <x v="5"/>
    <x v="6"/>
    <x v="0"/>
    <x v="4"/>
    <x v="1"/>
  </r>
  <r>
    <x v="17"/>
    <x v="17"/>
    <x v="2"/>
    <x v="1"/>
    <x v="0"/>
  </r>
  <r>
    <x v="17"/>
    <x v="17"/>
    <x v="3"/>
    <x v="0"/>
    <x v="0"/>
  </r>
  <r>
    <x v="12"/>
    <x v="17"/>
    <x v="3"/>
    <x v="1"/>
    <x v="0"/>
  </r>
  <r>
    <x v="17"/>
    <x v="17"/>
    <x v="0"/>
    <x v="5"/>
    <x v="0"/>
  </r>
  <r>
    <x v="0"/>
    <x v="4"/>
    <x v="0"/>
    <x v="1"/>
    <x v="0"/>
  </r>
  <r>
    <x v="8"/>
    <x v="4"/>
    <x v="3"/>
    <x v="2"/>
    <x v="0"/>
  </r>
  <r>
    <x v="12"/>
    <x v="17"/>
    <x v="3"/>
    <x v="4"/>
    <x v="0"/>
  </r>
  <r>
    <x v="6"/>
    <x v="2"/>
    <x v="3"/>
    <x v="4"/>
    <x v="1"/>
  </r>
  <r>
    <x v="12"/>
    <x v="17"/>
    <x v="3"/>
    <x v="5"/>
    <x v="0"/>
  </r>
  <r>
    <x v="6"/>
    <x v="5"/>
    <x v="0"/>
    <x v="3"/>
    <x v="1"/>
  </r>
  <r>
    <x v="2"/>
    <x v="5"/>
    <x v="3"/>
    <x v="4"/>
    <x v="1"/>
  </r>
  <r>
    <x v="0"/>
    <x v="18"/>
    <x v="0"/>
    <x v="1"/>
    <x v="0"/>
  </r>
  <r>
    <x v="2"/>
    <x v="5"/>
    <x v="3"/>
    <x v="3"/>
    <x v="1"/>
  </r>
  <r>
    <x v="2"/>
    <x v="5"/>
    <x v="0"/>
    <x v="2"/>
    <x v="1"/>
  </r>
  <r>
    <x v="15"/>
    <x v="11"/>
    <x v="3"/>
    <x v="5"/>
    <x v="0"/>
  </r>
  <r>
    <x v="6"/>
    <x v="2"/>
    <x v="3"/>
    <x v="4"/>
    <x v="1"/>
  </r>
  <r>
    <x v="12"/>
    <x v="17"/>
    <x v="3"/>
    <x v="6"/>
    <x v="0"/>
  </r>
  <r>
    <x v="8"/>
    <x v="5"/>
    <x v="3"/>
    <x v="2"/>
    <x v="1"/>
  </r>
  <r>
    <x v="12"/>
    <x v="17"/>
    <x v="3"/>
    <x v="1"/>
    <x v="0"/>
  </r>
  <r>
    <x v="8"/>
    <x v="4"/>
    <x v="3"/>
    <x v="2"/>
    <x v="0"/>
  </r>
  <r>
    <x v="4"/>
    <x v="2"/>
    <x v="3"/>
    <x v="1"/>
    <x v="0"/>
  </r>
  <r>
    <x v="8"/>
    <x v="5"/>
    <x v="0"/>
    <x v="2"/>
    <x v="1"/>
  </r>
  <r>
    <x v="6"/>
    <x v="2"/>
    <x v="3"/>
    <x v="2"/>
    <x v="1"/>
  </r>
  <r>
    <x v="9"/>
    <x v="11"/>
    <x v="3"/>
    <x v="2"/>
    <x v="0"/>
  </r>
  <r>
    <x v="2"/>
    <x v="5"/>
    <x v="0"/>
    <x v="3"/>
    <x v="1"/>
  </r>
  <r>
    <x v="6"/>
    <x v="5"/>
    <x v="3"/>
    <x v="2"/>
    <x v="0"/>
  </r>
  <r>
    <x v="12"/>
    <x v="17"/>
    <x v="3"/>
    <x v="1"/>
    <x v="0"/>
  </r>
  <r>
    <x v="12"/>
    <x v="17"/>
    <x v="3"/>
    <x v="3"/>
    <x v="0"/>
  </r>
  <r>
    <x v="2"/>
    <x v="5"/>
    <x v="3"/>
    <x v="4"/>
    <x v="0"/>
  </r>
  <r>
    <x v="18"/>
    <x v="11"/>
    <x v="3"/>
    <x v="2"/>
    <x v="1"/>
  </r>
  <r>
    <x v="12"/>
    <x v="2"/>
    <x v="3"/>
    <x v="2"/>
    <x v="0"/>
  </r>
  <r>
    <x v="8"/>
    <x v="13"/>
    <x v="3"/>
    <x v="2"/>
    <x v="0"/>
  </r>
  <r>
    <x v="2"/>
    <x v="5"/>
    <x v="3"/>
    <x v="4"/>
    <x v="1"/>
  </r>
  <r>
    <x v="12"/>
    <x v="17"/>
    <x v="3"/>
    <x v="1"/>
    <x v="0"/>
  </r>
  <r>
    <x v="12"/>
    <x v="17"/>
    <x v="3"/>
    <x v="1"/>
    <x v="0"/>
  </r>
  <r>
    <x v="17"/>
    <x v="17"/>
    <x v="3"/>
    <x v="5"/>
    <x v="0"/>
  </r>
  <r>
    <x v="2"/>
    <x v="5"/>
    <x v="3"/>
    <x v="4"/>
    <x v="1"/>
  </r>
  <r>
    <x v="12"/>
    <x v="2"/>
    <x v="3"/>
    <x v="0"/>
    <x v="0"/>
  </r>
  <r>
    <x v="6"/>
    <x v="2"/>
    <x v="3"/>
    <x v="2"/>
    <x v="0"/>
  </r>
  <r>
    <x v="2"/>
    <x v="5"/>
    <x v="0"/>
    <x v="0"/>
    <x v="0"/>
  </r>
  <r>
    <x v="6"/>
    <x v="5"/>
    <x v="3"/>
    <x v="2"/>
    <x v="1"/>
  </r>
  <r>
    <x v="14"/>
    <x v="5"/>
    <x v="3"/>
    <x v="1"/>
    <x v="0"/>
  </r>
  <r>
    <x v="18"/>
    <x v="11"/>
    <x v="3"/>
    <x v="3"/>
    <x v="1"/>
  </r>
  <r>
    <x v="1"/>
    <x v="3"/>
    <x v="0"/>
    <x v="1"/>
    <x v="1"/>
  </r>
  <r>
    <x v="2"/>
    <x v="5"/>
    <x v="3"/>
    <x v="4"/>
    <x v="0"/>
  </r>
  <r>
    <x v="6"/>
    <x v="11"/>
    <x v="3"/>
    <x v="1"/>
    <x v="0"/>
  </r>
  <r>
    <x v="17"/>
    <x v="17"/>
    <x v="2"/>
    <x v="5"/>
    <x v="1"/>
  </r>
  <r>
    <x v="17"/>
    <x v="17"/>
    <x v="3"/>
    <x v="5"/>
    <x v="0"/>
  </r>
  <r>
    <x v="18"/>
    <x v="2"/>
    <x v="3"/>
    <x v="4"/>
    <x v="0"/>
  </r>
  <r>
    <x v="12"/>
    <x v="2"/>
    <x v="3"/>
    <x v="1"/>
    <x v="0"/>
  </r>
  <r>
    <x v="2"/>
    <x v="5"/>
    <x v="0"/>
    <x v="4"/>
    <x v="0"/>
  </r>
  <r>
    <x v="6"/>
    <x v="2"/>
    <x v="3"/>
    <x v="1"/>
    <x v="0"/>
  </r>
  <r>
    <x v="2"/>
    <x v="5"/>
    <x v="3"/>
    <x v="3"/>
    <x v="1"/>
  </r>
  <r>
    <x v="12"/>
    <x v="17"/>
    <x v="3"/>
    <x v="2"/>
    <x v="0"/>
  </r>
  <r>
    <x v="17"/>
    <x v="17"/>
    <x v="3"/>
    <x v="5"/>
    <x v="0"/>
  </r>
  <r>
    <x v="2"/>
    <x v="5"/>
    <x v="3"/>
    <x v="4"/>
    <x v="0"/>
  </r>
  <r>
    <x v="0"/>
    <x v="4"/>
    <x v="0"/>
    <x v="6"/>
    <x v="0"/>
  </r>
  <r>
    <x v="12"/>
    <x v="17"/>
    <x v="3"/>
    <x v="6"/>
    <x v="1"/>
  </r>
  <r>
    <x v="2"/>
    <x v="5"/>
    <x v="3"/>
    <x v="4"/>
    <x v="1"/>
  </r>
  <r>
    <x v="18"/>
    <x v="2"/>
    <x v="3"/>
    <x v="3"/>
    <x v="1"/>
  </r>
  <r>
    <x v="17"/>
    <x v="18"/>
    <x v="0"/>
    <x v="0"/>
    <x v="1"/>
  </r>
  <r>
    <x v="8"/>
    <x v="4"/>
    <x v="3"/>
    <x v="2"/>
    <x v="0"/>
  </r>
  <r>
    <x v="12"/>
    <x v="17"/>
    <x v="2"/>
    <x v="1"/>
    <x v="1"/>
  </r>
  <r>
    <x v="12"/>
    <x v="2"/>
    <x v="3"/>
    <x v="6"/>
    <x v="0"/>
  </r>
  <r>
    <x v="2"/>
    <x v="5"/>
    <x v="3"/>
    <x v="3"/>
    <x v="1"/>
  </r>
  <r>
    <x v="1"/>
    <x v="17"/>
    <x v="3"/>
    <x v="1"/>
    <x v="0"/>
  </r>
  <r>
    <x v="12"/>
    <x v="5"/>
    <x v="3"/>
    <x v="6"/>
    <x v="0"/>
  </r>
  <r>
    <x v="17"/>
    <x v="17"/>
    <x v="3"/>
    <x v="6"/>
    <x v="1"/>
  </r>
  <r>
    <x v="12"/>
    <x v="5"/>
    <x v="2"/>
    <x v="6"/>
    <x v="0"/>
  </r>
  <r>
    <x v="2"/>
    <x v="5"/>
    <x v="3"/>
    <x v="2"/>
    <x v="0"/>
  </r>
  <r>
    <x v="12"/>
    <x v="17"/>
    <x v="2"/>
    <x v="6"/>
    <x v="0"/>
  </r>
  <r>
    <x v="2"/>
    <x v="5"/>
    <x v="3"/>
    <x v="3"/>
    <x v="1"/>
  </r>
  <r>
    <x v="0"/>
    <x v="18"/>
    <x v="1"/>
    <x v="6"/>
    <x v="1"/>
  </r>
  <r>
    <x v="12"/>
    <x v="2"/>
    <x v="3"/>
    <x v="1"/>
    <x v="0"/>
  </r>
  <r>
    <x v="12"/>
    <x v="2"/>
    <x v="0"/>
    <x v="1"/>
    <x v="1"/>
  </r>
  <r>
    <x v="0"/>
    <x v="18"/>
    <x v="1"/>
    <x v="6"/>
    <x v="1"/>
  </r>
  <r>
    <x v="6"/>
    <x v="2"/>
    <x v="3"/>
    <x v="4"/>
    <x v="0"/>
  </r>
  <r>
    <x v="12"/>
    <x v="17"/>
    <x v="3"/>
    <x v="3"/>
    <x v="1"/>
  </r>
  <r>
    <x v="17"/>
    <x v="17"/>
    <x v="2"/>
    <x v="5"/>
    <x v="0"/>
  </r>
  <r>
    <x v="6"/>
    <x v="2"/>
    <x v="3"/>
    <x v="4"/>
    <x v="1"/>
  </r>
  <r>
    <x v="8"/>
    <x v="5"/>
    <x v="3"/>
    <x v="3"/>
    <x v="1"/>
  </r>
  <r>
    <x v="2"/>
    <x v="5"/>
    <x v="3"/>
    <x v="4"/>
    <x v="1"/>
  </r>
  <r>
    <x v="2"/>
    <x v="5"/>
    <x v="3"/>
    <x v="1"/>
    <x v="1"/>
  </r>
  <r>
    <x v="12"/>
    <x v="5"/>
    <x v="3"/>
    <x v="3"/>
    <x v="0"/>
  </r>
  <r>
    <x v="2"/>
    <x v="5"/>
    <x v="3"/>
    <x v="3"/>
    <x v="1"/>
  </r>
  <r>
    <x v="12"/>
    <x v="5"/>
    <x v="3"/>
    <x v="5"/>
    <x v="0"/>
  </r>
  <r>
    <x v="12"/>
    <x v="2"/>
    <x v="3"/>
    <x v="1"/>
    <x v="0"/>
  </r>
  <r>
    <x v="18"/>
    <x v="11"/>
    <x v="3"/>
    <x v="3"/>
    <x v="0"/>
  </r>
  <r>
    <x v="12"/>
    <x v="17"/>
    <x v="0"/>
    <x v="1"/>
    <x v="1"/>
  </r>
  <r>
    <x v="3"/>
    <x v="5"/>
    <x v="3"/>
    <x v="1"/>
    <x v="0"/>
  </r>
  <r>
    <x v="6"/>
    <x v="2"/>
    <x v="3"/>
    <x v="2"/>
    <x v="0"/>
  </r>
  <r>
    <x v="6"/>
    <x v="5"/>
    <x v="3"/>
    <x v="6"/>
    <x v="1"/>
  </r>
  <r>
    <x v="17"/>
    <x v="17"/>
    <x v="3"/>
    <x v="0"/>
    <x v="0"/>
  </r>
  <r>
    <x v="6"/>
    <x v="2"/>
    <x v="3"/>
    <x v="4"/>
    <x v="0"/>
  </r>
  <r>
    <x v="15"/>
    <x v="11"/>
    <x v="3"/>
    <x v="1"/>
    <x v="0"/>
  </r>
  <r>
    <x v="18"/>
    <x v="11"/>
    <x v="3"/>
    <x v="2"/>
    <x v="0"/>
  </r>
  <r>
    <x v="3"/>
    <x v="5"/>
    <x v="3"/>
    <x v="4"/>
    <x v="1"/>
  </r>
  <r>
    <x v="6"/>
    <x v="2"/>
    <x v="3"/>
    <x v="2"/>
    <x v="0"/>
  </r>
  <r>
    <x v="12"/>
    <x v="5"/>
    <x v="3"/>
    <x v="3"/>
    <x v="0"/>
  </r>
  <r>
    <x v="20"/>
    <x v="2"/>
    <x v="3"/>
    <x v="2"/>
    <x v="1"/>
  </r>
  <r>
    <x v="2"/>
    <x v="5"/>
    <x v="3"/>
    <x v="4"/>
    <x v="1"/>
  </r>
  <r>
    <x v="0"/>
    <x v="18"/>
    <x v="0"/>
    <x v="1"/>
    <x v="1"/>
  </r>
  <r>
    <x v="3"/>
    <x v="4"/>
    <x v="3"/>
    <x v="1"/>
    <x v="1"/>
  </r>
  <r>
    <x v="12"/>
    <x v="17"/>
    <x v="3"/>
    <x v="2"/>
    <x v="0"/>
  </r>
  <r>
    <x v="6"/>
    <x v="2"/>
    <x v="3"/>
    <x v="2"/>
    <x v="0"/>
  </r>
  <r>
    <x v="12"/>
    <x v="2"/>
    <x v="3"/>
    <x v="5"/>
    <x v="0"/>
  </r>
  <r>
    <x v="12"/>
    <x v="2"/>
    <x v="3"/>
    <x v="1"/>
    <x v="0"/>
  </r>
  <r>
    <x v="3"/>
    <x v="5"/>
    <x v="3"/>
    <x v="2"/>
    <x v="1"/>
  </r>
  <r>
    <x v="1"/>
    <x v="3"/>
    <x v="3"/>
    <x v="3"/>
    <x v="1"/>
  </r>
  <r>
    <x v="1"/>
    <x v="3"/>
    <x v="0"/>
    <x v="2"/>
    <x v="1"/>
  </r>
  <r>
    <x v="6"/>
    <x v="2"/>
    <x v="3"/>
    <x v="4"/>
    <x v="0"/>
  </r>
  <r>
    <x v="3"/>
    <x v="4"/>
    <x v="3"/>
    <x v="1"/>
    <x v="1"/>
  </r>
  <r>
    <x v="6"/>
    <x v="4"/>
    <x v="3"/>
    <x v="3"/>
    <x v="1"/>
  </r>
  <r>
    <x v="18"/>
    <x v="11"/>
    <x v="3"/>
    <x v="3"/>
    <x v="1"/>
  </r>
  <r>
    <x v="18"/>
    <x v="11"/>
    <x v="3"/>
    <x v="4"/>
    <x v="0"/>
  </r>
  <r>
    <x v="5"/>
    <x v="11"/>
    <x v="3"/>
    <x v="4"/>
    <x v="1"/>
  </r>
  <r>
    <x v="17"/>
    <x v="17"/>
    <x v="0"/>
    <x v="0"/>
    <x v="1"/>
  </r>
  <r>
    <x v="12"/>
    <x v="17"/>
    <x v="3"/>
    <x v="2"/>
    <x v="0"/>
  </r>
  <r>
    <x v="5"/>
    <x v="6"/>
    <x v="3"/>
    <x v="4"/>
    <x v="1"/>
  </r>
  <r>
    <x v="12"/>
    <x v="17"/>
    <x v="3"/>
    <x v="1"/>
    <x v="0"/>
  </r>
  <r>
    <x v="0"/>
    <x v="18"/>
    <x v="0"/>
    <x v="1"/>
    <x v="1"/>
  </r>
  <r>
    <x v="0"/>
    <x v="2"/>
    <x v="2"/>
    <x v="1"/>
    <x v="0"/>
  </r>
  <r>
    <x v="17"/>
    <x v="17"/>
    <x v="3"/>
    <x v="5"/>
    <x v="0"/>
  </r>
  <r>
    <x v="3"/>
    <x v="5"/>
    <x v="3"/>
    <x v="3"/>
    <x v="0"/>
  </r>
  <r>
    <x v="17"/>
    <x v="17"/>
    <x v="3"/>
    <x v="0"/>
    <x v="0"/>
  </r>
  <r>
    <x v="12"/>
    <x v="17"/>
    <x v="0"/>
    <x v="1"/>
    <x v="1"/>
  </r>
  <r>
    <x v="6"/>
    <x v="2"/>
    <x v="3"/>
    <x v="3"/>
    <x v="1"/>
  </r>
  <r>
    <x v="13"/>
    <x v="11"/>
    <x v="0"/>
    <x v="6"/>
    <x v="0"/>
  </r>
  <r>
    <x v="12"/>
    <x v="17"/>
    <x v="3"/>
    <x v="3"/>
    <x v="1"/>
  </r>
  <r>
    <x v="2"/>
    <x v="5"/>
    <x v="0"/>
    <x v="6"/>
    <x v="1"/>
  </r>
  <r>
    <x v="12"/>
    <x v="17"/>
    <x v="3"/>
    <x v="6"/>
    <x v="0"/>
  </r>
  <r>
    <x v="11"/>
    <x v="7"/>
    <x v="3"/>
    <x v="2"/>
    <x v="0"/>
  </r>
  <r>
    <x v="2"/>
    <x v="5"/>
    <x v="3"/>
    <x v="4"/>
    <x v="0"/>
  </r>
  <r>
    <x v="2"/>
    <x v="5"/>
    <x v="3"/>
    <x v="2"/>
    <x v="1"/>
  </r>
  <r>
    <x v="17"/>
    <x v="17"/>
    <x v="2"/>
    <x v="0"/>
    <x v="0"/>
  </r>
  <r>
    <x v="12"/>
    <x v="17"/>
    <x v="3"/>
    <x v="2"/>
    <x v="0"/>
  </r>
  <r>
    <x v="6"/>
    <x v="5"/>
    <x v="0"/>
    <x v="2"/>
    <x v="1"/>
  </r>
  <r>
    <x v="2"/>
    <x v="5"/>
    <x v="3"/>
    <x v="4"/>
    <x v="1"/>
  </r>
  <r>
    <x v="15"/>
    <x v="2"/>
    <x v="3"/>
    <x v="4"/>
    <x v="1"/>
  </r>
  <r>
    <x v="9"/>
    <x v="17"/>
    <x v="2"/>
    <x v="1"/>
    <x v="1"/>
  </r>
  <r>
    <x v="2"/>
    <x v="5"/>
    <x v="0"/>
    <x v="6"/>
    <x v="1"/>
  </r>
  <r>
    <x v="19"/>
    <x v="5"/>
    <x v="3"/>
    <x v="2"/>
    <x v="0"/>
  </r>
  <r>
    <x v="12"/>
    <x v="17"/>
    <x v="3"/>
    <x v="2"/>
    <x v="1"/>
  </r>
  <r>
    <x v="2"/>
    <x v="5"/>
    <x v="3"/>
    <x v="4"/>
    <x v="1"/>
  </r>
  <r>
    <x v="6"/>
    <x v="11"/>
    <x v="3"/>
    <x v="1"/>
    <x v="0"/>
  </r>
  <r>
    <x v="18"/>
    <x v="15"/>
    <x v="3"/>
    <x v="2"/>
    <x v="1"/>
  </r>
  <r>
    <x v="1"/>
    <x v="3"/>
    <x v="3"/>
    <x v="3"/>
    <x v="0"/>
  </r>
  <r>
    <x v="11"/>
    <x v="7"/>
    <x v="3"/>
    <x v="3"/>
    <x v="0"/>
  </r>
  <r>
    <x v="2"/>
    <x v="5"/>
    <x v="3"/>
    <x v="4"/>
    <x v="0"/>
  </r>
  <r>
    <x v="12"/>
    <x v="17"/>
    <x v="3"/>
    <x v="2"/>
    <x v="0"/>
  </r>
  <r>
    <x v="12"/>
    <x v="17"/>
    <x v="3"/>
    <x v="3"/>
    <x v="1"/>
  </r>
  <r>
    <x v="14"/>
    <x v="5"/>
    <x v="3"/>
    <x v="1"/>
    <x v="1"/>
  </r>
  <r>
    <x v="19"/>
    <x v="5"/>
    <x v="3"/>
    <x v="2"/>
    <x v="1"/>
  </r>
  <r>
    <x v="12"/>
    <x v="10"/>
    <x v="3"/>
    <x v="2"/>
    <x v="0"/>
  </r>
  <r>
    <x v="8"/>
    <x v="4"/>
    <x v="3"/>
    <x v="2"/>
    <x v="0"/>
  </r>
  <r>
    <x v="4"/>
    <x v="2"/>
    <x v="0"/>
    <x v="3"/>
    <x v="1"/>
  </r>
  <r>
    <x v="17"/>
    <x v="5"/>
    <x v="0"/>
    <x v="1"/>
    <x v="1"/>
  </r>
  <r>
    <x v="6"/>
    <x v="2"/>
    <x v="3"/>
    <x v="2"/>
    <x v="1"/>
  </r>
  <r>
    <x v="3"/>
    <x v="5"/>
    <x v="3"/>
    <x v="2"/>
    <x v="0"/>
  </r>
  <r>
    <x v="17"/>
    <x v="17"/>
    <x v="3"/>
    <x v="6"/>
    <x v="1"/>
  </r>
  <r>
    <x v="2"/>
    <x v="5"/>
    <x v="3"/>
    <x v="4"/>
    <x v="1"/>
  </r>
  <r>
    <x v="12"/>
    <x v="17"/>
    <x v="3"/>
    <x v="1"/>
    <x v="0"/>
  </r>
  <r>
    <x v="6"/>
    <x v="2"/>
    <x v="3"/>
    <x v="2"/>
    <x v="1"/>
  </r>
  <r>
    <x v="6"/>
    <x v="13"/>
    <x v="3"/>
    <x v="3"/>
    <x v="1"/>
  </r>
  <r>
    <x v="6"/>
    <x v="2"/>
    <x v="3"/>
    <x v="2"/>
    <x v="0"/>
  </r>
  <r>
    <x v="2"/>
    <x v="5"/>
    <x v="3"/>
    <x v="4"/>
    <x v="1"/>
  </r>
  <r>
    <x v="2"/>
    <x v="5"/>
    <x v="3"/>
    <x v="4"/>
    <x v="1"/>
  </r>
  <r>
    <x v="17"/>
    <x v="17"/>
    <x v="3"/>
    <x v="1"/>
    <x v="1"/>
  </r>
  <r>
    <x v="6"/>
    <x v="2"/>
    <x v="0"/>
    <x v="2"/>
    <x v="0"/>
  </r>
  <r>
    <x v="1"/>
    <x v="3"/>
    <x v="3"/>
    <x v="1"/>
    <x v="1"/>
  </r>
  <r>
    <x v="12"/>
    <x v="17"/>
    <x v="3"/>
    <x v="1"/>
    <x v="0"/>
  </r>
  <r>
    <x v="2"/>
    <x v="5"/>
    <x v="3"/>
    <x v="4"/>
    <x v="1"/>
  </r>
  <r>
    <x v="12"/>
    <x v="11"/>
    <x v="3"/>
    <x v="3"/>
    <x v="0"/>
  </r>
  <r>
    <x v="6"/>
    <x v="4"/>
    <x v="3"/>
    <x v="2"/>
    <x v="1"/>
  </r>
  <r>
    <x v="6"/>
    <x v="5"/>
    <x v="3"/>
    <x v="4"/>
    <x v="0"/>
  </r>
  <r>
    <x v="0"/>
    <x v="2"/>
    <x v="3"/>
    <x v="1"/>
    <x v="0"/>
  </r>
  <r>
    <x v="12"/>
    <x v="17"/>
    <x v="3"/>
    <x v="6"/>
    <x v="0"/>
  </r>
  <r>
    <x v="18"/>
    <x v="11"/>
    <x v="2"/>
    <x v="4"/>
    <x v="1"/>
  </r>
  <r>
    <x v="2"/>
    <x v="5"/>
    <x v="3"/>
    <x v="4"/>
    <x v="1"/>
  </r>
  <r>
    <x v="2"/>
    <x v="5"/>
    <x v="3"/>
    <x v="3"/>
    <x v="1"/>
  </r>
  <r>
    <x v="6"/>
    <x v="2"/>
    <x v="3"/>
    <x v="1"/>
    <x v="1"/>
  </r>
  <r>
    <x v="18"/>
    <x v="11"/>
    <x v="3"/>
    <x v="3"/>
    <x v="1"/>
  </r>
  <r>
    <x v="0"/>
    <x v="2"/>
    <x v="0"/>
    <x v="5"/>
    <x v="1"/>
  </r>
  <r>
    <x v="12"/>
    <x v="17"/>
    <x v="3"/>
    <x v="6"/>
    <x v="1"/>
  </r>
  <r>
    <x v="11"/>
    <x v="7"/>
    <x v="3"/>
    <x v="2"/>
    <x v="1"/>
  </r>
  <r>
    <x v="0"/>
    <x v="2"/>
    <x v="0"/>
    <x v="6"/>
    <x v="0"/>
  </r>
  <r>
    <x v="3"/>
    <x v="5"/>
    <x v="3"/>
    <x v="2"/>
    <x v="0"/>
  </r>
  <r>
    <x v="12"/>
    <x v="2"/>
    <x v="3"/>
    <x v="2"/>
    <x v="0"/>
  </r>
  <r>
    <x v="6"/>
    <x v="2"/>
    <x v="3"/>
    <x v="2"/>
    <x v="0"/>
  </r>
  <r>
    <x v="12"/>
    <x v="2"/>
    <x v="3"/>
    <x v="2"/>
    <x v="0"/>
  </r>
  <r>
    <x v="12"/>
    <x v="17"/>
    <x v="3"/>
    <x v="2"/>
    <x v="0"/>
  </r>
  <r>
    <x v="2"/>
    <x v="11"/>
    <x v="3"/>
    <x v="3"/>
    <x v="1"/>
  </r>
  <r>
    <x v="12"/>
    <x v="17"/>
    <x v="3"/>
    <x v="1"/>
    <x v="1"/>
  </r>
  <r>
    <x v="12"/>
    <x v="17"/>
    <x v="3"/>
    <x v="1"/>
    <x v="0"/>
  </r>
  <r>
    <x v="12"/>
    <x v="17"/>
    <x v="3"/>
    <x v="3"/>
    <x v="0"/>
  </r>
  <r>
    <x v="18"/>
    <x v="11"/>
    <x v="3"/>
    <x v="2"/>
    <x v="0"/>
  </r>
  <r>
    <x v="0"/>
    <x v="10"/>
    <x v="0"/>
    <x v="6"/>
    <x v="0"/>
  </r>
  <r>
    <x v="12"/>
    <x v="2"/>
    <x v="3"/>
    <x v="1"/>
    <x v="0"/>
  </r>
  <r>
    <x v="0"/>
    <x v="18"/>
    <x v="3"/>
    <x v="1"/>
    <x v="0"/>
  </r>
  <r>
    <x v="12"/>
    <x v="17"/>
    <x v="3"/>
    <x v="1"/>
    <x v="0"/>
  </r>
  <r>
    <x v="8"/>
    <x v="4"/>
    <x v="3"/>
    <x v="2"/>
    <x v="0"/>
  </r>
  <r>
    <x v="16"/>
    <x v="17"/>
    <x v="3"/>
    <x v="2"/>
    <x v="0"/>
  </r>
  <r>
    <x v="8"/>
    <x v="3"/>
    <x v="3"/>
    <x v="1"/>
    <x v="0"/>
  </r>
  <r>
    <x v="2"/>
    <x v="5"/>
    <x v="3"/>
    <x v="4"/>
    <x v="1"/>
  </r>
  <r>
    <x v="6"/>
    <x v="4"/>
    <x v="3"/>
    <x v="3"/>
    <x v="0"/>
  </r>
  <r>
    <x v="6"/>
    <x v="2"/>
    <x v="3"/>
    <x v="1"/>
    <x v="0"/>
  </r>
  <r>
    <x v="2"/>
    <x v="5"/>
    <x v="3"/>
    <x v="4"/>
    <x v="1"/>
  </r>
  <r>
    <x v="3"/>
    <x v="5"/>
    <x v="3"/>
    <x v="2"/>
    <x v="1"/>
  </r>
  <r>
    <x v="0"/>
    <x v="2"/>
    <x v="0"/>
    <x v="5"/>
    <x v="1"/>
  </r>
  <r>
    <x v="12"/>
    <x v="11"/>
    <x v="3"/>
    <x v="1"/>
    <x v="0"/>
  </r>
  <r>
    <x v="12"/>
    <x v="17"/>
    <x v="2"/>
    <x v="6"/>
    <x v="0"/>
  </r>
  <r>
    <x v="6"/>
    <x v="2"/>
    <x v="3"/>
    <x v="2"/>
    <x v="0"/>
  </r>
  <r>
    <x v="0"/>
    <x v="10"/>
    <x v="2"/>
    <x v="6"/>
    <x v="0"/>
  </r>
  <r>
    <x v="3"/>
    <x v="5"/>
    <x v="3"/>
    <x v="4"/>
    <x v="1"/>
  </r>
  <r>
    <x v="2"/>
    <x v="5"/>
    <x v="3"/>
    <x v="3"/>
    <x v="0"/>
  </r>
  <r>
    <x v="4"/>
    <x v="2"/>
    <x v="3"/>
    <x v="1"/>
    <x v="1"/>
  </r>
  <r>
    <x v="17"/>
    <x v="17"/>
    <x v="3"/>
    <x v="1"/>
    <x v="1"/>
  </r>
  <r>
    <x v="8"/>
    <x v="4"/>
    <x v="3"/>
    <x v="2"/>
    <x v="0"/>
  </r>
  <r>
    <x v="4"/>
    <x v="2"/>
    <x v="3"/>
    <x v="2"/>
    <x v="1"/>
  </r>
  <r>
    <x v="19"/>
    <x v="3"/>
    <x v="0"/>
    <x v="2"/>
    <x v="1"/>
  </r>
  <r>
    <x v="0"/>
    <x v="18"/>
    <x v="2"/>
    <x v="1"/>
    <x v="1"/>
  </r>
  <r>
    <x v="0"/>
    <x v="4"/>
    <x v="0"/>
    <x v="6"/>
    <x v="0"/>
  </r>
  <r>
    <x v="2"/>
    <x v="5"/>
    <x v="3"/>
    <x v="4"/>
    <x v="1"/>
  </r>
  <r>
    <x v="12"/>
    <x v="17"/>
    <x v="3"/>
    <x v="2"/>
    <x v="0"/>
  </r>
  <r>
    <x v="12"/>
    <x v="17"/>
    <x v="3"/>
    <x v="2"/>
    <x v="1"/>
  </r>
  <r>
    <x v="5"/>
    <x v="11"/>
    <x v="0"/>
    <x v="3"/>
    <x v="1"/>
  </r>
  <r>
    <x v="0"/>
    <x v="4"/>
    <x v="0"/>
    <x v="1"/>
    <x v="1"/>
  </r>
  <r>
    <x v="12"/>
    <x v="5"/>
    <x v="3"/>
    <x v="3"/>
    <x v="0"/>
  </r>
  <r>
    <x v="2"/>
    <x v="11"/>
    <x v="3"/>
    <x v="3"/>
    <x v="1"/>
  </r>
  <r>
    <x v="6"/>
    <x v="2"/>
    <x v="3"/>
    <x v="4"/>
    <x v="0"/>
  </r>
  <r>
    <x v="0"/>
    <x v="4"/>
    <x v="0"/>
    <x v="6"/>
    <x v="1"/>
  </r>
  <r>
    <x v="0"/>
    <x v="2"/>
    <x v="0"/>
    <x v="1"/>
    <x v="0"/>
  </r>
  <r>
    <x v="8"/>
    <x v="4"/>
    <x v="0"/>
    <x v="2"/>
    <x v="1"/>
  </r>
  <r>
    <x v="12"/>
    <x v="11"/>
    <x v="3"/>
    <x v="1"/>
    <x v="0"/>
  </r>
  <r>
    <x v="12"/>
    <x v="17"/>
    <x v="3"/>
    <x v="1"/>
    <x v="0"/>
  </r>
  <r>
    <x v="12"/>
    <x v="2"/>
    <x v="3"/>
    <x v="2"/>
    <x v="0"/>
  </r>
  <r>
    <x v="2"/>
    <x v="11"/>
    <x v="3"/>
    <x v="3"/>
    <x v="1"/>
  </r>
  <r>
    <x v="12"/>
    <x v="5"/>
    <x v="3"/>
    <x v="5"/>
    <x v="0"/>
  </r>
  <r>
    <x v="12"/>
    <x v="11"/>
    <x v="3"/>
    <x v="1"/>
    <x v="0"/>
  </r>
  <r>
    <x v="6"/>
    <x v="2"/>
    <x v="3"/>
    <x v="4"/>
    <x v="0"/>
  </r>
  <r>
    <x v="6"/>
    <x v="5"/>
    <x v="3"/>
    <x v="4"/>
    <x v="1"/>
  </r>
  <r>
    <x v="18"/>
    <x v="11"/>
    <x v="3"/>
    <x v="3"/>
    <x v="1"/>
  </r>
  <r>
    <x v="2"/>
    <x v="5"/>
    <x v="3"/>
    <x v="3"/>
    <x v="0"/>
  </r>
  <r>
    <x v="9"/>
    <x v="9"/>
    <x v="2"/>
    <x v="2"/>
    <x v="0"/>
  </r>
  <r>
    <x v="2"/>
    <x v="5"/>
    <x v="3"/>
    <x v="4"/>
    <x v="0"/>
  </r>
  <r>
    <x v="0"/>
    <x v="18"/>
    <x v="0"/>
    <x v="1"/>
    <x v="0"/>
  </r>
  <r>
    <x v="2"/>
    <x v="5"/>
    <x v="3"/>
    <x v="4"/>
    <x v="1"/>
  </r>
  <r>
    <x v="12"/>
    <x v="11"/>
    <x v="3"/>
    <x v="2"/>
    <x v="1"/>
  </r>
  <r>
    <x v="8"/>
    <x v="4"/>
    <x v="3"/>
    <x v="2"/>
    <x v="0"/>
  </r>
  <r>
    <x v="6"/>
    <x v="2"/>
    <x v="3"/>
    <x v="2"/>
    <x v="1"/>
  </r>
  <r>
    <x v="19"/>
    <x v="5"/>
    <x v="3"/>
    <x v="2"/>
    <x v="1"/>
  </r>
  <r>
    <x v="6"/>
    <x v="2"/>
    <x v="3"/>
    <x v="4"/>
    <x v="0"/>
  </r>
  <r>
    <x v="6"/>
    <x v="2"/>
    <x v="3"/>
    <x v="2"/>
    <x v="0"/>
  </r>
  <r>
    <x v="0"/>
    <x v="18"/>
    <x v="2"/>
    <x v="1"/>
    <x v="0"/>
  </r>
  <r>
    <x v="12"/>
    <x v="2"/>
    <x v="3"/>
    <x v="6"/>
    <x v="0"/>
  </r>
  <r>
    <x v="9"/>
    <x v="8"/>
    <x v="3"/>
    <x v="1"/>
    <x v="1"/>
  </r>
  <r>
    <x v="12"/>
    <x v="2"/>
    <x v="3"/>
    <x v="1"/>
    <x v="1"/>
  </r>
  <r>
    <x v="7"/>
    <x v="17"/>
    <x v="3"/>
    <x v="5"/>
    <x v="0"/>
  </r>
  <r>
    <x v="12"/>
    <x v="17"/>
    <x v="3"/>
    <x v="3"/>
    <x v="0"/>
  </r>
  <r>
    <x v="2"/>
    <x v="5"/>
    <x v="3"/>
    <x v="4"/>
    <x v="1"/>
  </r>
  <r>
    <x v="12"/>
    <x v="11"/>
    <x v="0"/>
    <x v="3"/>
    <x v="0"/>
  </r>
  <r>
    <x v="0"/>
    <x v="18"/>
    <x v="2"/>
    <x v="1"/>
    <x v="0"/>
  </r>
  <r>
    <x v="2"/>
    <x v="5"/>
    <x v="0"/>
    <x v="3"/>
    <x v="1"/>
  </r>
  <r>
    <x v="3"/>
    <x v="5"/>
    <x v="3"/>
    <x v="4"/>
    <x v="1"/>
  </r>
  <r>
    <x v="22"/>
    <x v="11"/>
    <x v="0"/>
    <x v="6"/>
    <x v="0"/>
  </r>
  <r>
    <x v="17"/>
    <x v="17"/>
    <x v="2"/>
    <x v="5"/>
    <x v="0"/>
  </r>
  <r>
    <x v="12"/>
    <x v="17"/>
    <x v="3"/>
    <x v="1"/>
    <x v="0"/>
  </r>
  <r>
    <x v="12"/>
    <x v="17"/>
    <x v="2"/>
    <x v="6"/>
    <x v="1"/>
  </r>
  <r>
    <x v="1"/>
    <x v="3"/>
    <x v="3"/>
    <x v="1"/>
    <x v="1"/>
  </r>
  <r>
    <x v="8"/>
    <x v="4"/>
    <x v="3"/>
    <x v="2"/>
    <x v="1"/>
  </r>
  <r>
    <x v="12"/>
    <x v="10"/>
    <x v="3"/>
    <x v="1"/>
    <x v="0"/>
  </r>
  <r>
    <x v="3"/>
    <x v="4"/>
    <x v="3"/>
    <x v="2"/>
    <x v="0"/>
  </r>
  <r>
    <x v="17"/>
    <x v="17"/>
    <x v="3"/>
    <x v="0"/>
    <x v="0"/>
  </r>
  <r>
    <x v="6"/>
    <x v="2"/>
    <x v="3"/>
    <x v="4"/>
    <x v="0"/>
  </r>
  <r>
    <x v="4"/>
    <x v="2"/>
    <x v="3"/>
    <x v="2"/>
    <x v="1"/>
  </r>
  <r>
    <x v="12"/>
    <x v="2"/>
    <x v="3"/>
    <x v="1"/>
    <x v="1"/>
  </r>
  <r>
    <x v="8"/>
    <x v="13"/>
    <x v="0"/>
    <x v="2"/>
    <x v="0"/>
  </r>
  <r>
    <x v="0"/>
    <x v="2"/>
    <x v="0"/>
    <x v="5"/>
    <x v="1"/>
  </r>
  <r>
    <x v="17"/>
    <x v="17"/>
    <x v="0"/>
    <x v="5"/>
    <x v="1"/>
  </r>
  <r>
    <x v="12"/>
    <x v="17"/>
    <x v="2"/>
    <x v="6"/>
    <x v="0"/>
  </r>
  <r>
    <x v="1"/>
    <x v="3"/>
    <x v="3"/>
    <x v="3"/>
    <x v="1"/>
  </r>
  <r>
    <x v="0"/>
    <x v="4"/>
    <x v="2"/>
    <x v="6"/>
    <x v="0"/>
  </r>
  <r>
    <x v="0"/>
    <x v="2"/>
    <x v="0"/>
    <x v="6"/>
    <x v="1"/>
  </r>
  <r>
    <x v="6"/>
    <x v="2"/>
    <x v="3"/>
    <x v="3"/>
    <x v="0"/>
  </r>
  <r>
    <x v="0"/>
    <x v="2"/>
    <x v="0"/>
    <x v="1"/>
    <x v="0"/>
  </r>
  <r>
    <x v="6"/>
    <x v="2"/>
    <x v="3"/>
    <x v="1"/>
    <x v="0"/>
  </r>
  <r>
    <x v="12"/>
    <x v="17"/>
    <x v="3"/>
    <x v="2"/>
    <x v="1"/>
  </r>
  <r>
    <x v="2"/>
    <x v="5"/>
    <x v="3"/>
    <x v="4"/>
    <x v="1"/>
  </r>
  <r>
    <x v="3"/>
    <x v="4"/>
    <x v="3"/>
    <x v="1"/>
    <x v="1"/>
  </r>
  <r>
    <x v="17"/>
    <x v="17"/>
    <x v="0"/>
    <x v="6"/>
    <x v="0"/>
  </r>
  <r>
    <x v="8"/>
    <x v="5"/>
    <x v="3"/>
    <x v="2"/>
    <x v="0"/>
  </r>
  <r>
    <x v="18"/>
    <x v="11"/>
    <x v="3"/>
    <x v="4"/>
    <x v="0"/>
  </r>
  <r>
    <x v="12"/>
    <x v="17"/>
    <x v="3"/>
    <x v="2"/>
    <x v="0"/>
  </r>
  <r>
    <x v="9"/>
    <x v="11"/>
    <x v="3"/>
    <x v="1"/>
    <x v="1"/>
  </r>
  <r>
    <x v="12"/>
    <x v="5"/>
    <x v="3"/>
    <x v="3"/>
    <x v="0"/>
  </r>
  <r>
    <x v="8"/>
    <x v="5"/>
    <x v="0"/>
    <x v="2"/>
    <x v="0"/>
  </r>
  <r>
    <x v="6"/>
    <x v="2"/>
    <x v="3"/>
    <x v="2"/>
    <x v="1"/>
  </r>
  <r>
    <x v="6"/>
    <x v="2"/>
    <x v="3"/>
    <x v="4"/>
    <x v="1"/>
  </r>
  <r>
    <x v="12"/>
    <x v="17"/>
    <x v="3"/>
    <x v="5"/>
    <x v="0"/>
  </r>
  <r>
    <x v="2"/>
    <x v="5"/>
    <x v="3"/>
    <x v="3"/>
    <x v="1"/>
  </r>
  <r>
    <x v="2"/>
    <x v="5"/>
    <x v="3"/>
    <x v="4"/>
    <x v="1"/>
  </r>
  <r>
    <x v="18"/>
    <x v="11"/>
    <x v="3"/>
    <x v="3"/>
    <x v="0"/>
  </r>
  <r>
    <x v="6"/>
    <x v="5"/>
    <x v="3"/>
    <x v="3"/>
    <x v="1"/>
  </r>
  <r>
    <x v="6"/>
    <x v="2"/>
    <x v="3"/>
    <x v="3"/>
    <x v="1"/>
  </r>
  <r>
    <x v="12"/>
    <x v="11"/>
    <x v="3"/>
    <x v="1"/>
    <x v="1"/>
  </r>
  <r>
    <x v="0"/>
    <x v="2"/>
    <x v="2"/>
    <x v="1"/>
    <x v="1"/>
  </r>
  <r>
    <x v="12"/>
    <x v="17"/>
    <x v="2"/>
    <x v="3"/>
    <x v="0"/>
  </r>
  <r>
    <x v="6"/>
    <x v="5"/>
    <x v="3"/>
    <x v="3"/>
    <x v="1"/>
  </r>
  <r>
    <x v="12"/>
    <x v="17"/>
    <x v="3"/>
    <x v="1"/>
    <x v="0"/>
  </r>
  <r>
    <x v="12"/>
    <x v="17"/>
    <x v="3"/>
    <x v="3"/>
    <x v="1"/>
  </r>
  <r>
    <x v="12"/>
    <x v="17"/>
    <x v="3"/>
    <x v="1"/>
    <x v="0"/>
  </r>
  <r>
    <x v="12"/>
    <x v="17"/>
    <x v="3"/>
    <x v="3"/>
    <x v="0"/>
  </r>
  <r>
    <x v="12"/>
    <x v="11"/>
    <x v="3"/>
    <x v="1"/>
    <x v="0"/>
  </r>
  <r>
    <x v="15"/>
    <x v="11"/>
    <x v="3"/>
    <x v="5"/>
    <x v="1"/>
  </r>
  <r>
    <x v="6"/>
    <x v="2"/>
    <x v="0"/>
    <x v="1"/>
    <x v="1"/>
  </r>
  <r>
    <x v="12"/>
    <x v="17"/>
    <x v="3"/>
    <x v="2"/>
    <x v="0"/>
  </r>
  <r>
    <x v="2"/>
    <x v="5"/>
    <x v="0"/>
    <x v="3"/>
    <x v="1"/>
  </r>
  <r>
    <x v="2"/>
    <x v="5"/>
    <x v="3"/>
    <x v="4"/>
    <x v="1"/>
  </r>
  <r>
    <x v="12"/>
    <x v="17"/>
    <x v="3"/>
    <x v="5"/>
    <x v="0"/>
  </r>
  <r>
    <x v="9"/>
    <x v="8"/>
    <x v="3"/>
    <x v="2"/>
    <x v="0"/>
  </r>
  <r>
    <x v="17"/>
    <x v="17"/>
    <x v="3"/>
    <x v="5"/>
    <x v="0"/>
  </r>
  <r>
    <x v="1"/>
    <x v="3"/>
    <x v="0"/>
    <x v="4"/>
    <x v="1"/>
  </r>
  <r>
    <x v="8"/>
    <x v="5"/>
    <x v="0"/>
    <x v="2"/>
    <x v="1"/>
  </r>
  <r>
    <x v="12"/>
    <x v="17"/>
    <x v="2"/>
    <x v="2"/>
    <x v="1"/>
  </r>
  <r>
    <x v="2"/>
    <x v="5"/>
    <x v="3"/>
    <x v="3"/>
    <x v="1"/>
  </r>
  <r>
    <x v="12"/>
    <x v="5"/>
    <x v="3"/>
    <x v="1"/>
    <x v="1"/>
  </r>
  <r>
    <x v="22"/>
    <x v="5"/>
    <x v="3"/>
    <x v="6"/>
    <x v="0"/>
  </r>
  <r>
    <x v="12"/>
    <x v="17"/>
    <x v="3"/>
    <x v="2"/>
    <x v="0"/>
  </r>
  <r>
    <x v="15"/>
    <x v="17"/>
    <x v="0"/>
    <x v="1"/>
    <x v="0"/>
  </r>
  <r>
    <x v="12"/>
    <x v="17"/>
    <x v="3"/>
    <x v="1"/>
    <x v="1"/>
  </r>
  <r>
    <x v="2"/>
    <x v="5"/>
    <x v="0"/>
    <x v="6"/>
    <x v="1"/>
  </r>
  <r>
    <x v="6"/>
    <x v="2"/>
    <x v="3"/>
    <x v="2"/>
    <x v="1"/>
  </r>
  <r>
    <x v="12"/>
    <x v="17"/>
    <x v="3"/>
    <x v="2"/>
    <x v="0"/>
  </r>
  <r>
    <x v="2"/>
    <x v="5"/>
    <x v="3"/>
    <x v="4"/>
    <x v="1"/>
  </r>
  <r>
    <x v="8"/>
    <x v="5"/>
    <x v="0"/>
    <x v="3"/>
    <x v="0"/>
  </r>
  <r>
    <x v="14"/>
    <x v="11"/>
    <x v="3"/>
    <x v="1"/>
    <x v="0"/>
  </r>
  <r>
    <x v="12"/>
    <x v="2"/>
    <x v="3"/>
    <x v="6"/>
    <x v="0"/>
  </r>
  <r>
    <x v="6"/>
    <x v="2"/>
    <x v="3"/>
    <x v="2"/>
    <x v="1"/>
  </r>
  <r>
    <x v="2"/>
    <x v="5"/>
    <x v="3"/>
    <x v="4"/>
    <x v="1"/>
  </r>
  <r>
    <x v="0"/>
    <x v="4"/>
    <x v="0"/>
    <x v="1"/>
    <x v="0"/>
  </r>
  <r>
    <x v="6"/>
    <x v="2"/>
    <x v="3"/>
    <x v="2"/>
    <x v="0"/>
  </r>
  <r>
    <x v="4"/>
    <x v="2"/>
    <x v="3"/>
    <x v="3"/>
    <x v="0"/>
  </r>
  <r>
    <x v="2"/>
    <x v="5"/>
    <x v="3"/>
    <x v="2"/>
    <x v="1"/>
  </r>
  <r>
    <x v="4"/>
    <x v="2"/>
    <x v="3"/>
    <x v="2"/>
    <x v="0"/>
  </r>
  <r>
    <x v="6"/>
    <x v="11"/>
    <x v="3"/>
    <x v="1"/>
    <x v="0"/>
  </r>
  <r>
    <x v="6"/>
    <x v="2"/>
    <x v="3"/>
    <x v="4"/>
    <x v="1"/>
  </r>
  <r>
    <x v="12"/>
    <x v="17"/>
    <x v="3"/>
    <x v="6"/>
    <x v="0"/>
  </r>
  <r>
    <x v="2"/>
    <x v="5"/>
    <x v="3"/>
    <x v="1"/>
    <x v="0"/>
  </r>
  <r>
    <x v="12"/>
    <x v="11"/>
    <x v="3"/>
    <x v="2"/>
    <x v="0"/>
  </r>
  <r>
    <x v="8"/>
    <x v="5"/>
    <x v="0"/>
    <x v="2"/>
    <x v="0"/>
  </r>
  <r>
    <x v="6"/>
    <x v="2"/>
    <x v="3"/>
    <x v="1"/>
    <x v="1"/>
  </r>
  <r>
    <x v="9"/>
    <x v="16"/>
    <x v="2"/>
    <x v="3"/>
    <x v="1"/>
  </r>
  <r>
    <x v="12"/>
    <x v="4"/>
    <x v="3"/>
    <x v="2"/>
    <x v="0"/>
  </r>
  <r>
    <x v="6"/>
    <x v="2"/>
    <x v="3"/>
    <x v="3"/>
    <x v="1"/>
  </r>
  <r>
    <x v="12"/>
    <x v="17"/>
    <x v="3"/>
    <x v="1"/>
    <x v="0"/>
  </r>
  <r>
    <x v="17"/>
    <x v="2"/>
    <x v="2"/>
    <x v="6"/>
    <x v="1"/>
  </r>
  <r>
    <x v="12"/>
    <x v="17"/>
    <x v="3"/>
    <x v="1"/>
    <x v="0"/>
  </r>
  <r>
    <x v="17"/>
    <x v="17"/>
    <x v="3"/>
    <x v="6"/>
    <x v="0"/>
  </r>
  <r>
    <x v="17"/>
    <x v="17"/>
    <x v="3"/>
    <x v="0"/>
    <x v="0"/>
  </r>
  <r>
    <x v="12"/>
    <x v="17"/>
    <x v="3"/>
    <x v="6"/>
    <x v="0"/>
  </r>
  <r>
    <x v="17"/>
    <x v="18"/>
    <x v="3"/>
    <x v="0"/>
    <x v="0"/>
  </r>
  <r>
    <x v="12"/>
    <x v="17"/>
    <x v="3"/>
    <x v="2"/>
    <x v="0"/>
  </r>
  <r>
    <x v="12"/>
    <x v="2"/>
    <x v="3"/>
    <x v="6"/>
    <x v="0"/>
  </r>
  <r>
    <x v="6"/>
    <x v="2"/>
    <x v="3"/>
    <x v="3"/>
    <x v="1"/>
  </r>
  <r>
    <x v="12"/>
    <x v="5"/>
    <x v="3"/>
    <x v="1"/>
    <x v="0"/>
  </r>
  <r>
    <x v="6"/>
    <x v="5"/>
    <x v="3"/>
    <x v="3"/>
    <x v="0"/>
  </r>
  <r>
    <x v="3"/>
    <x v="4"/>
    <x v="3"/>
    <x v="4"/>
    <x v="1"/>
  </r>
  <r>
    <x v="6"/>
    <x v="5"/>
    <x v="3"/>
    <x v="3"/>
    <x v="1"/>
  </r>
  <r>
    <x v="17"/>
    <x v="17"/>
    <x v="3"/>
    <x v="1"/>
    <x v="1"/>
  </r>
  <r>
    <x v="2"/>
    <x v="5"/>
    <x v="3"/>
    <x v="4"/>
    <x v="1"/>
  </r>
  <r>
    <x v="2"/>
    <x v="5"/>
    <x v="3"/>
    <x v="4"/>
    <x v="1"/>
  </r>
  <r>
    <x v="4"/>
    <x v="13"/>
    <x v="3"/>
    <x v="1"/>
    <x v="1"/>
  </r>
  <r>
    <x v="0"/>
    <x v="2"/>
    <x v="0"/>
    <x v="5"/>
    <x v="0"/>
  </r>
  <r>
    <x v="13"/>
    <x v="4"/>
    <x v="3"/>
    <x v="1"/>
    <x v="0"/>
  </r>
  <r>
    <x v="12"/>
    <x v="17"/>
    <x v="3"/>
    <x v="2"/>
    <x v="0"/>
  </r>
  <r>
    <x v="12"/>
    <x v="17"/>
    <x v="3"/>
    <x v="3"/>
    <x v="0"/>
  </r>
  <r>
    <x v="12"/>
    <x v="10"/>
    <x v="3"/>
    <x v="1"/>
    <x v="0"/>
  </r>
  <r>
    <x v="6"/>
    <x v="2"/>
    <x v="3"/>
    <x v="1"/>
    <x v="1"/>
  </r>
  <r>
    <x v="0"/>
    <x v="2"/>
    <x v="1"/>
    <x v="1"/>
    <x v="0"/>
  </r>
  <r>
    <x v="11"/>
    <x v="7"/>
    <x v="3"/>
    <x v="1"/>
    <x v="0"/>
  </r>
  <r>
    <x v="4"/>
    <x v="2"/>
    <x v="3"/>
    <x v="2"/>
    <x v="1"/>
  </r>
  <r>
    <x v="4"/>
    <x v="2"/>
    <x v="3"/>
    <x v="1"/>
    <x v="0"/>
  </r>
  <r>
    <x v="0"/>
    <x v="18"/>
    <x v="2"/>
    <x v="1"/>
    <x v="1"/>
  </r>
  <r>
    <x v="2"/>
    <x v="5"/>
    <x v="0"/>
    <x v="0"/>
    <x v="1"/>
  </r>
  <r>
    <x v="17"/>
    <x v="17"/>
    <x v="3"/>
    <x v="6"/>
    <x v="0"/>
  </r>
  <r>
    <x v="0"/>
    <x v="2"/>
    <x v="0"/>
    <x v="1"/>
    <x v="0"/>
  </r>
  <r>
    <x v="6"/>
    <x v="2"/>
    <x v="3"/>
    <x v="2"/>
    <x v="0"/>
  </r>
  <r>
    <x v="12"/>
    <x v="17"/>
    <x v="3"/>
    <x v="2"/>
    <x v="0"/>
  </r>
  <r>
    <x v="6"/>
    <x v="11"/>
    <x v="3"/>
    <x v="1"/>
    <x v="0"/>
  </r>
  <r>
    <x v="12"/>
    <x v="17"/>
    <x v="3"/>
    <x v="5"/>
    <x v="1"/>
  </r>
  <r>
    <x v="6"/>
    <x v="4"/>
    <x v="3"/>
    <x v="3"/>
    <x v="0"/>
  </r>
  <r>
    <x v="12"/>
    <x v="17"/>
    <x v="3"/>
    <x v="3"/>
    <x v="0"/>
  </r>
  <r>
    <x v="12"/>
    <x v="17"/>
    <x v="3"/>
    <x v="6"/>
    <x v="0"/>
  </r>
  <r>
    <x v="14"/>
    <x v="5"/>
    <x v="0"/>
    <x v="6"/>
    <x v="1"/>
  </r>
  <r>
    <x v="22"/>
    <x v="3"/>
    <x v="0"/>
    <x v="3"/>
    <x v="1"/>
  </r>
  <r>
    <x v="3"/>
    <x v="5"/>
    <x v="3"/>
    <x v="4"/>
    <x v="1"/>
  </r>
  <r>
    <x v="12"/>
    <x v="2"/>
    <x v="3"/>
    <x v="3"/>
    <x v="0"/>
  </r>
  <r>
    <x v="20"/>
    <x v="11"/>
    <x v="3"/>
    <x v="3"/>
    <x v="1"/>
  </r>
  <r>
    <x v="12"/>
    <x v="17"/>
    <x v="3"/>
    <x v="1"/>
    <x v="0"/>
  </r>
  <r>
    <x v="6"/>
    <x v="2"/>
    <x v="3"/>
    <x v="1"/>
    <x v="1"/>
  </r>
  <r>
    <x v="12"/>
    <x v="4"/>
    <x v="2"/>
    <x v="1"/>
    <x v="0"/>
  </r>
  <r>
    <x v="12"/>
    <x v="17"/>
    <x v="3"/>
    <x v="3"/>
    <x v="0"/>
  </r>
  <r>
    <x v="12"/>
    <x v="2"/>
    <x v="3"/>
    <x v="2"/>
    <x v="1"/>
  </r>
  <r>
    <x v="0"/>
    <x v="4"/>
    <x v="2"/>
    <x v="6"/>
    <x v="0"/>
  </r>
  <r>
    <x v="11"/>
    <x v="7"/>
    <x v="3"/>
    <x v="1"/>
    <x v="0"/>
  </r>
  <r>
    <x v="0"/>
    <x v="2"/>
    <x v="0"/>
    <x v="5"/>
    <x v="1"/>
  </r>
  <r>
    <x v="6"/>
    <x v="13"/>
    <x v="3"/>
    <x v="2"/>
    <x v="0"/>
  </r>
  <r>
    <x v="8"/>
    <x v="4"/>
    <x v="3"/>
    <x v="2"/>
    <x v="0"/>
  </r>
  <r>
    <x v="12"/>
    <x v="17"/>
    <x v="3"/>
    <x v="1"/>
    <x v="0"/>
  </r>
  <r>
    <x v="8"/>
    <x v="5"/>
    <x v="3"/>
    <x v="2"/>
    <x v="0"/>
  </r>
  <r>
    <x v="12"/>
    <x v="2"/>
    <x v="3"/>
    <x v="1"/>
    <x v="0"/>
  </r>
  <r>
    <x v="0"/>
    <x v="2"/>
    <x v="2"/>
    <x v="1"/>
    <x v="1"/>
  </r>
  <r>
    <x v="0"/>
    <x v="2"/>
    <x v="0"/>
    <x v="6"/>
    <x v="0"/>
  </r>
  <r>
    <x v="12"/>
    <x v="17"/>
    <x v="3"/>
    <x v="1"/>
    <x v="0"/>
  </r>
  <r>
    <x v="6"/>
    <x v="2"/>
    <x v="3"/>
    <x v="3"/>
    <x v="1"/>
  </r>
  <r>
    <x v="12"/>
    <x v="2"/>
    <x v="3"/>
    <x v="1"/>
    <x v="0"/>
  </r>
  <r>
    <x v="12"/>
    <x v="11"/>
    <x v="3"/>
    <x v="6"/>
    <x v="0"/>
  </r>
  <r>
    <x v="8"/>
    <x v="5"/>
    <x v="3"/>
    <x v="2"/>
    <x v="1"/>
  </r>
  <r>
    <x v="1"/>
    <x v="17"/>
    <x v="3"/>
    <x v="4"/>
    <x v="0"/>
  </r>
  <r>
    <x v="3"/>
    <x v="4"/>
    <x v="3"/>
    <x v="1"/>
    <x v="1"/>
  </r>
  <r>
    <x v="12"/>
    <x v="17"/>
    <x v="3"/>
    <x v="3"/>
    <x v="1"/>
  </r>
  <r>
    <x v="0"/>
    <x v="2"/>
    <x v="0"/>
    <x v="1"/>
    <x v="1"/>
  </r>
  <r>
    <x v="17"/>
    <x v="17"/>
    <x v="3"/>
    <x v="5"/>
    <x v="0"/>
  </r>
  <r>
    <x v="2"/>
    <x v="5"/>
    <x v="3"/>
    <x v="4"/>
    <x v="1"/>
  </r>
  <r>
    <x v="3"/>
    <x v="5"/>
    <x v="3"/>
    <x v="2"/>
    <x v="0"/>
  </r>
  <r>
    <x v="12"/>
    <x v="17"/>
    <x v="3"/>
    <x v="0"/>
    <x v="1"/>
  </r>
  <r>
    <x v="5"/>
    <x v="11"/>
    <x v="0"/>
    <x v="4"/>
    <x v="1"/>
  </r>
  <r>
    <x v="3"/>
    <x v="5"/>
    <x v="3"/>
    <x v="2"/>
    <x v="1"/>
  </r>
  <r>
    <x v="21"/>
    <x v="11"/>
    <x v="0"/>
    <x v="4"/>
    <x v="0"/>
  </r>
  <r>
    <x v="0"/>
    <x v="2"/>
    <x v="0"/>
    <x v="6"/>
    <x v="1"/>
  </r>
  <r>
    <x v="0"/>
    <x v="2"/>
    <x v="0"/>
    <x v="5"/>
    <x v="1"/>
  </r>
  <r>
    <x v="5"/>
    <x v="7"/>
    <x v="0"/>
    <x v="3"/>
    <x v="1"/>
  </r>
  <r>
    <x v="6"/>
    <x v="2"/>
    <x v="3"/>
    <x v="1"/>
    <x v="1"/>
  </r>
  <r>
    <x v="17"/>
    <x v="5"/>
    <x v="0"/>
    <x v="0"/>
    <x v="1"/>
  </r>
  <r>
    <x v="12"/>
    <x v="17"/>
    <x v="3"/>
    <x v="1"/>
    <x v="0"/>
  </r>
  <r>
    <x v="11"/>
    <x v="7"/>
    <x v="3"/>
    <x v="3"/>
    <x v="0"/>
  </r>
  <r>
    <x v="18"/>
    <x v="2"/>
    <x v="3"/>
    <x v="3"/>
    <x v="0"/>
  </r>
  <r>
    <x v="2"/>
    <x v="5"/>
    <x v="3"/>
    <x v="4"/>
    <x v="1"/>
  </r>
  <r>
    <x v="3"/>
    <x v="5"/>
    <x v="3"/>
    <x v="2"/>
    <x v="1"/>
  </r>
  <r>
    <x v="0"/>
    <x v="2"/>
    <x v="0"/>
    <x v="5"/>
    <x v="1"/>
  </r>
  <r>
    <x v="12"/>
    <x v="2"/>
    <x v="3"/>
    <x v="6"/>
    <x v="0"/>
  </r>
  <r>
    <x v="0"/>
    <x v="2"/>
    <x v="0"/>
    <x v="1"/>
    <x v="1"/>
  </r>
  <r>
    <x v="1"/>
    <x v="3"/>
    <x v="3"/>
    <x v="3"/>
    <x v="1"/>
  </r>
  <r>
    <x v="8"/>
    <x v="4"/>
    <x v="3"/>
    <x v="2"/>
    <x v="0"/>
  </r>
  <r>
    <x v="14"/>
    <x v="5"/>
    <x v="3"/>
    <x v="6"/>
    <x v="0"/>
  </r>
  <r>
    <x v="22"/>
    <x v="11"/>
    <x v="0"/>
    <x v="6"/>
    <x v="1"/>
  </r>
  <r>
    <x v="2"/>
    <x v="5"/>
    <x v="0"/>
    <x v="0"/>
    <x v="1"/>
  </r>
  <r>
    <x v="2"/>
    <x v="5"/>
    <x v="3"/>
    <x v="4"/>
    <x v="1"/>
  </r>
  <r>
    <x v="0"/>
    <x v="2"/>
    <x v="0"/>
    <x v="5"/>
    <x v="1"/>
  </r>
  <r>
    <x v="17"/>
    <x v="17"/>
    <x v="0"/>
    <x v="5"/>
    <x v="1"/>
  </r>
  <r>
    <x v="12"/>
    <x v="17"/>
    <x v="3"/>
    <x v="5"/>
    <x v="1"/>
  </r>
  <r>
    <x v="3"/>
    <x v="5"/>
    <x v="3"/>
    <x v="1"/>
    <x v="0"/>
  </r>
  <r>
    <x v="6"/>
    <x v="2"/>
    <x v="3"/>
    <x v="2"/>
    <x v="1"/>
  </r>
  <r>
    <x v="0"/>
    <x v="4"/>
    <x v="0"/>
    <x v="1"/>
    <x v="0"/>
  </r>
  <r>
    <x v="12"/>
    <x v="5"/>
    <x v="0"/>
    <x v="5"/>
    <x v="1"/>
  </r>
  <r>
    <x v="0"/>
    <x v="2"/>
    <x v="0"/>
    <x v="1"/>
    <x v="0"/>
  </r>
  <r>
    <x v="6"/>
    <x v="5"/>
    <x v="3"/>
    <x v="3"/>
    <x v="1"/>
  </r>
  <r>
    <x v="12"/>
    <x v="17"/>
    <x v="3"/>
    <x v="4"/>
    <x v="0"/>
  </r>
  <r>
    <x v="3"/>
    <x v="5"/>
    <x v="3"/>
    <x v="0"/>
    <x v="0"/>
  </r>
  <r>
    <x v="2"/>
    <x v="5"/>
    <x v="3"/>
    <x v="4"/>
    <x v="1"/>
  </r>
  <r>
    <x v="15"/>
    <x v="11"/>
    <x v="3"/>
    <x v="2"/>
    <x v="0"/>
  </r>
  <r>
    <x v="6"/>
    <x v="2"/>
    <x v="3"/>
    <x v="3"/>
    <x v="1"/>
  </r>
  <r>
    <x v="8"/>
    <x v="13"/>
    <x v="0"/>
    <x v="2"/>
    <x v="0"/>
  </r>
  <r>
    <x v="12"/>
    <x v="17"/>
    <x v="2"/>
    <x v="1"/>
    <x v="0"/>
  </r>
  <r>
    <x v="20"/>
    <x v="11"/>
    <x v="3"/>
    <x v="4"/>
    <x v="1"/>
  </r>
  <r>
    <x v="6"/>
    <x v="2"/>
    <x v="3"/>
    <x v="1"/>
    <x v="0"/>
  </r>
  <r>
    <x v="0"/>
    <x v="10"/>
    <x v="0"/>
    <x v="6"/>
    <x v="1"/>
  </r>
  <r>
    <x v="6"/>
    <x v="5"/>
    <x v="3"/>
    <x v="3"/>
    <x v="1"/>
  </r>
  <r>
    <x v="3"/>
    <x v="4"/>
    <x v="1"/>
    <x v="4"/>
    <x v="1"/>
  </r>
  <r>
    <x v="3"/>
    <x v="4"/>
    <x v="3"/>
    <x v="2"/>
    <x v="1"/>
  </r>
  <r>
    <x v="12"/>
    <x v="5"/>
    <x v="3"/>
    <x v="1"/>
    <x v="1"/>
  </r>
  <r>
    <x v="5"/>
    <x v="11"/>
    <x v="3"/>
    <x v="4"/>
    <x v="1"/>
  </r>
  <r>
    <x v="0"/>
    <x v="4"/>
    <x v="2"/>
    <x v="1"/>
    <x v="1"/>
  </r>
  <r>
    <x v="5"/>
    <x v="11"/>
    <x v="0"/>
    <x v="4"/>
    <x v="1"/>
  </r>
  <r>
    <x v="6"/>
    <x v="2"/>
    <x v="3"/>
    <x v="2"/>
    <x v="1"/>
  </r>
  <r>
    <x v="7"/>
    <x v="17"/>
    <x v="0"/>
    <x v="0"/>
    <x v="0"/>
  </r>
  <r>
    <x v="6"/>
    <x v="5"/>
    <x v="3"/>
    <x v="2"/>
    <x v="1"/>
  </r>
  <r>
    <x v="12"/>
    <x v="17"/>
    <x v="3"/>
    <x v="1"/>
    <x v="1"/>
  </r>
  <r>
    <x v="12"/>
    <x v="10"/>
    <x v="3"/>
    <x v="2"/>
    <x v="1"/>
  </r>
  <r>
    <x v="18"/>
    <x v="11"/>
    <x v="3"/>
    <x v="3"/>
    <x v="0"/>
  </r>
  <r>
    <x v="12"/>
    <x v="10"/>
    <x v="3"/>
    <x v="5"/>
    <x v="0"/>
  </r>
  <r>
    <x v="6"/>
    <x v="4"/>
    <x v="3"/>
    <x v="3"/>
    <x v="1"/>
  </r>
  <r>
    <x v="6"/>
    <x v="2"/>
    <x v="3"/>
    <x v="4"/>
    <x v="0"/>
  </r>
  <r>
    <x v="2"/>
    <x v="11"/>
    <x v="3"/>
    <x v="3"/>
    <x v="1"/>
  </r>
  <r>
    <x v="12"/>
    <x v="17"/>
    <x v="2"/>
    <x v="3"/>
    <x v="1"/>
  </r>
  <r>
    <x v="12"/>
    <x v="4"/>
    <x v="3"/>
    <x v="1"/>
    <x v="0"/>
  </r>
  <r>
    <x v="12"/>
    <x v="17"/>
    <x v="3"/>
    <x v="1"/>
    <x v="1"/>
  </r>
  <r>
    <x v="0"/>
    <x v="2"/>
    <x v="2"/>
    <x v="1"/>
    <x v="1"/>
  </r>
  <r>
    <x v="6"/>
    <x v="2"/>
    <x v="3"/>
    <x v="2"/>
    <x v="1"/>
  </r>
  <r>
    <x v="2"/>
    <x v="5"/>
    <x v="3"/>
    <x v="4"/>
    <x v="1"/>
  </r>
  <r>
    <x v="12"/>
    <x v="17"/>
    <x v="3"/>
    <x v="3"/>
    <x v="0"/>
  </r>
  <r>
    <x v="6"/>
    <x v="5"/>
    <x v="3"/>
    <x v="2"/>
    <x v="1"/>
  </r>
  <r>
    <x v="17"/>
    <x v="17"/>
    <x v="1"/>
    <x v="6"/>
    <x v="1"/>
  </r>
  <r>
    <x v="6"/>
    <x v="2"/>
    <x v="3"/>
    <x v="4"/>
    <x v="1"/>
  </r>
  <r>
    <x v="15"/>
    <x v="5"/>
    <x v="0"/>
    <x v="3"/>
    <x v="1"/>
  </r>
  <r>
    <x v="4"/>
    <x v="2"/>
    <x v="3"/>
    <x v="2"/>
    <x v="0"/>
  </r>
  <r>
    <x v="0"/>
    <x v="10"/>
    <x v="0"/>
    <x v="0"/>
    <x v="0"/>
  </r>
  <r>
    <x v="6"/>
    <x v="12"/>
    <x v="3"/>
    <x v="4"/>
    <x v="0"/>
  </r>
  <r>
    <x v="6"/>
    <x v="2"/>
    <x v="3"/>
    <x v="1"/>
    <x v="1"/>
  </r>
  <r>
    <x v="2"/>
    <x v="17"/>
    <x v="0"/>
    <x v="4"/>
    <x v="1"/>
  </r>
  <r>
    <x v="8"/>
    <x v="5"/>
    <x v="3"/>
    <x v="3"/>
    <x v="0"/>
  </r>
  <r>
    <x v="6"/>
    <x v="5"/>
    <x v="3"/>
    <x v="3"/>
    <x v="1"/>
  </r>
  <r>
    <x v="8"/>
    <x v="4"/>
    <x v="3"/>
    <x v="3"/>
    <x v="0"/>
  </r>
  <r>
    <x v="12"/>
    <x v="12"/>
    <x v="3"/>
    <x v="1"/>
    <x v="0"/>
  </r>
  <r>
    <x v="3"/>
    <x v="4"/>
    <x v="3"/>
    <x v="2"/>
    <x v="1"/>
  </r>
  <r>
    <x v="12"/>
    <x v="11"/>
    <x v="3"/>
    <x v="5"/>
    <x v="0"/>
  </r>
  <r>
    <x v="8"/>
    <x v="4"/>
    <x v="0"/>
    <x v="2"/>
    <x v="0"/>
  </r>
  <r>
    <x v="12"/>
    <x v="17"/>
    <x v="3"/>
    <x v="2"/>
    <x v="0"/>
  </r>
  <r>
    <x v="12"/>
    <x v="17"/>
    <x v="3"/>
    <x v="4"/>
    <x v="1"/>
  </r>
  <r>
    <x v="6"/>
    <x v="2"/>
    <x v="3"/>
    <x v="2"/>
    <x v="0"/>
  </r>
  <r>
    <x v="3"/>
    <x v="5"/>
    <x v="3"/>
    <x v="4"/>
    <x v="1"/>
  </r>
  <r>
    <x v="8"/>
    <x v="4"/>
    <x v="3"/>
    <x v="2"/>
    <x v="1"/>
  </r>
  <r>
    <x v="12"/>
    <x v="17"/>
    <x v="3"/>
    <x v="6"/>
    <x v="0"/>
  </r>
  <r>
    <x v="3"/>
    <x v="5"/>
    <x v="3"/>
    <x v="2"/>
    <x v="1"/>
  </r>
  <r>
    <x v="0"/>
    <x v="2"/>
    <x v="0"/>
    <x v="5"/>
    <x v="0"/>
  </r>
  <r>
    <x v="9"/>
    <x v="2"/>
    <x v="3"/>
    <x v="2"/>
    <x v="0"/>
  </r>
  <r>
    <x v="12"/>
    <x v="17"/>
    <x v="3"/>
    <x v="3"/>
    <x v="0"/>
  </r>
  <r>
    <x v="0"/>
    <x v="10"/>
    <x v="0"/>
    <x v="6"/>
    <x v="1"/>
  </r>
  <r>
    <x v="8"/>
    <x v="5"/>
    <x v="3"/>
    <x v="3"/>
    <x v="0"/>
  </r>
  <r>
    <x v="20"/>
    <x v="11"/>
    <x v="0"/>
    <x v="4"/>
    <x v="1"/>
  </r>
  <r>
    <x v="12"/>
    <x v="11"/>
    <x v="3"/>
    <x v="1"/>
    <x v="1"/>
  </r>
  <r>
    <x v="12"/>
    <x v="17"/>
    <x v="3"/>
    <x v="3"/>
    <x v="0"/>
  </r>
  <r>
    <x v="4"/>
    <x v="2"/>
    <x v="3"/>
    <x v="2"/>
    <x v="1"/>
  </r>
  <r>
    <x v="12"/>
    <x v="17"/>
    <x v="0"/>
    <x v="6"/>
    <x v="1"/>
  </r>
  <r>
    <x v="12"/>
    <x v="2"/>
    <x v="0"/>
    <x v="1"/>
    <x v="1"/>
  </r>
  <r>
    <x v="12"/>
    <x v="17"/>
    <x v="3"/>
    <x v="6"/>
    <x v="0"/>
  </r>
  <r>
    <x v="2"/>
    <x v="5"/>
    <x v="3"/>
    <x v="4"/>
    <x v="1"/>
  </r>
  <r>
    <x v="5"/>
    <x v="11"/>
    <x v="0"/>
    <x v="4"/>
    <x v="1"/>
  </r>
  <r>
    <x v="8"/>
    <x v="4"/>
    <x v="3"/>
    <x v="2"/>
    <x v="0"/>
  </r>
  <r>
    <x v="12"/>
    <x v="17"/>
    <x v="3"/>
    <x v="1"/>
    <x v="1"/>
  </r>
  <r>
    <x v="6"/>
    <x v="5"/>
    <x v="3"/>
    <x v="2"/>
    <x v="0"/>
  </r>
  <r>
    <x v="6"/>
    <x v="2"/>
    <x v="3"/>
    <x v="4"/>
    <x v="0"/>
  </r>
  <r>
    <x v="15"/>
    <x v="11"/>
    <x v="3"/>
    <x v="3"/>
    <x v="1"/>
  </r>
  <r>
    <x v="6"/>
    <x v="2"/>
    <x v="3"/>
    <x v="3"/>
    <x v="0"/>
  </r>
  <r>
    <x v="2"/>
    <x v="5"/>
    <x v="3"/>
    <x v="0"/>
    <x v="1"/>
  </r>
  <r>
    <x v="17"/>
    <x v="17"/>
    <x v="0"/>
    <x v="5"/>
    <x v="1"/>
  </r>
  <r>
    <x v="8"/>
    <x v="5"/>
    <x v="0"/>
    <x v="2"/>
    <x v="0"/>
  </r>
  <r>
    <x v="6"/>
    <x v="5"/>
    <x v="3"/>
    <x v="4"/>
    <x v="1"/>
  </r>
  <r>
    <x v="18"/>
    <x v="11"/>
    <x v="3"/>
    <x v="4"/>
    <x v="0"/>
  </r>
  <r>
    <x v="3"/>
    <x v="4"/>
    <x v="3"/>
    <x v="3"/>
    <x v="0"/>
  </r>
  <r>
    <x v="2"/>
    <x v="5"/>
    <x v="3"/>
    <x v="4"/>
    <x v="1"/>
  </r>
  <r>
    <x v="12"/>
    <x v="10"/>
    <x v="3"/>
    <x v="1"/>
    <x v="0"/>
  </r>
  <r>
    <x v="1"/>
    <x v="3"/>
    <x v="1"/>
    <x v="3"/>
    <x v="0"/>
  </r>
  <r>
    <x v="6"/>
    <x v="2"/>
    <x v="3"/>
    <x v="2"/>
    <x v="1"/>
  </r>
  <r>
    <x v="2"/>
    <x v="5"/>
    <x v="3"/>
    <x v="4"/>
    <x v="0"/>
  </r>
  <r>
    <x v="18"/>
    <x v="11"/>
    <x v="3"/>
    <x v="3"/>
    <x v="0"/>
  </r>
  <r>
    <x v="17"/>
    <x v="2"/>
    <x v="3"/>
    <x v="6"/>
    <x v="1"/>
  </r>
  <r>
    <x v="12"/>
    <x v="2"/>
    <x v="3"/>
    <x v="1"/>
    <x v="0"/>
  </r>
  <r>
    <x v="2"/>
    <x v="5"/>
    <x v="3"/>
    <x v="0"/>
    <x v="1"/>
  </r>
  <r>
    <x v="12"/>
    <x v="17"/>
    <x v="3"/>
    <x v="1"/>
    <x v="0"/>
  </r>
  <r>
    <x v="10"/>
    <x v="14"/>
    <x v="3"/>
    <x v="4"/>
    <x v="1"/>
  </r>
  <r>
    <x v="6"/>
    <x v="11"/>
    <x v="3"/>
    <x v="1"/>
    <x v="0"/>
  </r>
  <r>
    <x v="12"/>
    <x v="10"/>
    <x v="3"/>
    <x v="1"/>
    <x v="0"/>
  </r>
  <r>
    <x v="6"/>
    <x v="2"/>
    <x v="3"/>
    <x v="2"/>
    <x v="1"/>
  </r>
  <r>
    <x v="17"/>
    <x v="17"/>
    <x v="3"/>
    <x v="5"/>
    <x v="0"/>
  </r>
  <r>
    <x v="18"/>
    <x v="11"/>
    <x v="3"/>
    <x v="3"/>
    <x v="0"/>
  </r>
  <r>
    <x v="12"/>
    <x v="12"/>
    <x v="3"/>
    <x v="2"/>
    <x v="1"/>
  </r>
  <r>
    <x v="12"/>
    <x v="17"/>
    <x v="3"/>
    <x v="1"/>
    <x v="1"/>
  </r>
  <r>
    <x v="2"/>
    <x v="11"/>
    <x v="3"/>
    <x v="2"/>
    <x v="1"/>
  </r>
  <r>
    <x v="12"/>
    <x v="2"/>
    <x v="3"/>
    <x v="4"/>
    <x v="0"/>
  </r>
  <r>
    <x v="2"/>
    <x v="5"/>
    <x v="3"/>
    <x v="4"/>
    <x v="1"/>
  </r>
  <r>
    <x v="0"/>
    <x v="2"/>
    <x v="0"/>
    <x v="5"/>
    <x v="1"/>
  </r>
  <r>
    <x v="12"/>
    <x v="2"/>
    <x v="3"/>
    <x v="2"/>
    <x v="0"/>
  </r>
  <r>
    <x v="19"/>
    <x v="5"/>
    <x v="3"/>
    <x v="3"/>
    <x v="1"/>
  </r>
  <r>
    <x v="12"/>
    <x v="2"/>
    <x v="3"/>
    <x v="2"/>
    <x v="1"/>
  </r>
  <r>
    <x v="0"/>
    <x v="10"/>
    <x v="0"/>
    <x v="1"/>
    <x v="1"/>
  </r>
  <r>
    <x v="12"/>
    <x v="17"/>
    <x v="2"/>
    <x v="1"/>
    <x v="0"/>
  </r>
  <r>
    <x v="2"/>
    <x v="5"/>
    <x v="3"/>
    <x v="4"/>
    <x v="1"/>
  </r>
  <r>
    <x v="8"/>
    <x v="5"/>
    <x v="3"/>
    <x v="2"/>
    <x v="0"/>
  </r>
  <r>
    <x v="2"/>
    <x v="5"/>
    <x v="0"/>
    <x v="2"/>
    <x v="1"/>
  </r>
  <r>
    <x v="15"/>
    <x v="2"/>
    <x v="3"/>
    <x v="4"/>
    <x v="1"/>
  </r>
  <r>
    <x v="6"/>
    <x v="2"/>
    <x v="3"/>
    <x v="2"/>
    <x v="1"/>
  </r>
  <r>
    <x v="0"/>
    <x v="2"/>
    <x v="2"/>
    <x v="1"/>
    <x v="1"/>
  </r>
  <r>
    <x v="11"/>
    <x v="5"/>
    <x v="3"/>
    <x v="6"/>
    <x v="0"/>
  </r>
  <r>
    <x v="6"/>
    <x v="2"/>
    <x v="3"/>
    <x v="2"/>
    <x v="1"/>
  </r>
  <r>
    <x v="12"/>
    <x v="2"/>
    <x v="3"/>
    <x v="1"/>
    <x v="1"/>
  </r>
  <r>
    <x v="18"/>
    <x v="11"/>
    <x v="3"/>
    <x v="4"/>
    <x v="0"/>
  </r>
  <r>
    <x v="12"/>
    <x v="17"/>
    <x v="3"/>
    <x v="4"/>
    <x v="0"/>
  </r>
  <r>
    <x v="6"/>
    <x v="13"/>
    <x v="3"/>
    <x v="3"/>
    <x v="1"/>
  </r>
  <r>
    <x v="2"/>
    <x v="5"/>
    <x v="3"/>
    <x v="4"/>
    <x v="1"/>
  </r>
  <r>
    <x v="12"/>
    <x v="17"/>
    <x v="3"/>
    <x v="2"/>
    <x v="0"/>
  </r>
  <r>
    <x v="8"/>
    <x v="5"/>
    <x v="0"/>
    <x v="2"/>
    <x v="0"/>
  </r>
  <r>
    <x v="2"/>
    <x v="5"/>
    <x v="3"/>
    <x v="3"/>
    <x v="0"/>
  </r>
  <r>
    <x v="0"/>
    <x v="18"/>
    <x v="1"/>
    <x v="6"/>
    <x v="1"/>
  </r>
  <r>
    <x v="12"/>
    <x v="5"/>
    <x v="3"/>
    <x v="1"/>
    <x v="0"/>
  </r>
  <r>
    <x v="0"/>
    <x v="2"/>
    <x v="0"/>
    <x v="6"/>
    <x v="1"/>
  </r>
  <r>
    <x v="6"/>
    <x v="2"/>
    <x v="3"/>
    <x v="4"/>
    <x v="0"/>
  </r>
  <r>
    <x v="14"/>
    <x v="5"/>
    <x v="0"/>
    <x v="6"/>
    <x v="0"/>
  </r>
  <r>
    <x v="8"/>
    <x v="5"/>
    <x v="3"/>
    <x v="3"/>
    <x v="0"/>
  </r>
  <r>
    <x v="2"/>
    <x v="5"/>
    <x v="3"/>
    <x v="4"/>
    <x v="1"/>
  </r>
  <r>
    <x v="18"/>
    <x v="2"/>
    <x v="3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2" cacheId="0" applyNumberFormats="0" applyBorderFormats="0" applyFontFormats="0" applyPatternFormats="0" applyAlignmentFormats="0" applyWidthHeightFormats="0" dataCaption="Values" itemPrintTitles="1" indent="0" outline="1" outlineData="1">
  <location ref="G8:J29" firstHeaderRow="1" firstDataRow="2" firstDataCol="1"/>
  <pivotFields count="5"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ela dinâmica8" cacheId="0" applyNumberFormats="0" applyBorderFormats="0" applyFontFormats="0" applyPatternFormats="0" applyAlignmentFormats="0" applyWidthHeightFormats="0" dataCaption="Values" itemPrintTitles="1" indent="0" outline="1" outlineData="1">
  <location ref="A102:D111" firstHeaderRow="1" firstDataRow="2" firstDataCol="1"/>
  <pivotFields count="5"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3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abela dinâmica7" cacheId="0" applyNumberFormats="0" applyBorderFormats="0" applyFontFormats="0" applyPatternFormats="0" applyAlignmentFormats="0" applyWidthHeightFormats="0" dataCaption="Values" itemPrintTitles="1" indent="0" outline="1" outlineData="1">
  <location ref="A93:D99" firstHeaderRow="1" firstDataRow="2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ela dinâmica1" cacheId="0" applyNumberFormats="0" applyBorderFormats="0" applyFontFormats="0" applyPatternFormats="0" applyAlignmentFormats="0" applyWidthHeightFormats="0" dataCaption="Values" itemPrintTitles="1" indent="0" outline="1" outlineData="1">
  <location ref="B8:E33" firstHeaderRow="1" firstDataRow="2" firstDataCol="1"/>
  <pivotFields count="5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Tabela dinâmica4" cacheId="0" applyNumberFormats="0" applyBorderFormats="0" applyFontFormats="0" applyPatternFormats="0" applyAlignmentFormats="0" applyWidthHeightFormats="0" dataCaption="Values" itemPrintTitles="1" indent="0" outline="1" outlineData="1">
  <location ref="Q8:T17" firstHeaderRow="1" firstDataRow="2" firstDataCol="1"/>
  <pivotFields count="5"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3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Tabela dinâmica5" cacheId="0" applyNumberFormats="0" applyBorderFormats="0" applyFontFormats="0" applyPatternFormats="0" applyAlignmentFormats="0" applyWidthHeightFormats="0" dataCaption="Values" itemPrintTitles="1" indent="0" outline="1" outlineData="1">
  <location ref="A38:D44" firstHeaderRow="1" firstDataRow="2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ela dinâmica3" cacheId="0" applyNumberFormats="0" applyBorderFormats="0" applyFontFormats="0" applyPatternFormats="0" applyAlignmentFormats="0" applyWidthHeightFormats="0" dataCaption="Values" itemPrintTitles="1" indent="0" outline="1" outlineData="1">
  <location ref="L8:O14" firstHeaderRow="1" firstDataRow="2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Tabela dinâmica6" cacheId="0" applyNumberFormats="0" applyBorderFormats="0" applyFontFormats="0" applyPatternFormats="0" applyAlignmentFormats="0" applyWidthHeightFormats="0" dataCaption="Values" itemPrintTitles="1" indent="0" outline="1" outlineData="1">
  <location ref="A47:D56" firstHeaderRow="1" firstDataRow="2" firstDataCol="1"/>
  <pivotFields count="5"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3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70" zoomScaleNormal="70" workbookViewId="0">
      <selection activeCell="D11" sqref="D11"/>
    </sheetView>
  </sheetViews>
  <sheetFormatPr defaultColWidth="11.5546875" defaultRowHeight="23.4" x14ac:dyDescent="0.45"/>
  <cols>
    <col min="1" max="1" width="35.44140625" style="1" customWidth="1"/>
    <col min="2" max="2" width="139.77734375" style="1" customWidth="1"/>
    <col min="3" max="4" width="10.77734375" style="1" customWidth="1"/>
  </cols>
  <sheetData>
    <row r="1" spans="1:2" ht="23.25" customHeight="1" x14ac:dyDescent="0.45">
      <c r="A1" s="2" t="s">
        <v>0</v>
      </c>
      <c r="B1" s="2" t="s">
        <v>1</v>
      </c>
    </row>
    <row r="2" spans="1:2" ht="23.25" customHeight="1" x14ac:dyDescent="0.45">
      <c r="A2" s="3" t="s">
        <v>2</v>
      </c>
      <c r="B2" s="3" t="s">
        <v>3</v>
      </c>
    </row>
    <row r="3" spans="1:2" ht="23.25" customHeight="1" x14ac:dyDescent="0.45">
      <c r="A3" s="3" t="s">
        <v>4</v>
      </c>
      <c r="B3" s="3" t="s">
        <v>5</v>
      </c>
    </row>
    <row r="4" spans="1:2" ht="23.25" customHeight="1" x14ac:dyDescent="0.45">
      <c r="A4" s="3" t="s">
        <v>6</v>
      </c>
      <c r="B4" s="3" t="s">
        <v>7</v>
      </c>
    </row>
    <row r="5" spans="1:2" ht="23.25" customHeight="1" x14ac:dyDescent="0.45">
      <c r="A5" s="3" t="s">
        <v>8</v>
      </c>
      <c r="B5" s="3" t="s">
        <v>9</v>
      </c>
    </row>
    <row r="6" spans="1:2" ht="23.25" customHeight="1" x14ac:dyDescent="0.45">
      <c r="A6" s="3" t="s">
        <v>10</v>
      </c>
      <c r="B6" s="3" t="s">
        <v>11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showGridLines="0" topLeftCell="A2" zoomScale="115" zoomScaleNormal="115" workbookViewId="0">
      <selection activeCell="A2" sqref="A2"/>
    </sheetView>
  </sheetViews>
  <sheetFormatPr defaultColWidth="8.77734375" defaultRowHeight="14.4" x14ac:dyDescent="0.3"/>
  <cols>
    <col min="1" max="1" width="24.88671875" style="4" customWidth="1"/>
    <col min="2" max="2" width="17.109375" style="4" customWidth="1"/>
    <col min="3" max="3" width="24.33203125" style="4" customWidth="1"/>
    <col min="4" max="4" width="19" style="4" customWidth="1"/>
    <col min="5" max="5" width="16.44140625" style="4" customWidth="1"/>
    <col min="6" max="6" width="17.109375" style="4" customWidth="1"/>
  </cols>
  <sheetData>
    <row r="1" spans="1:5" ht="14.25" customHeight="1" x14ac:dyDescent="0.3">
      <c r="A1" s="5" t="s">
        <v>2</v>
      </c>
      <c r="B1" s="5" t="s">
        <v>4</v>
      </c>
      <c r="C1" s="5" t="s">
        <v>6</v>
      </c>
      <c r="D1" s="5" t="s">
        <v>8</v>
      </c>
      <c r="E1" s="5" t="s">
        <v>10</v>
      </c>
    </row>
    <row r="2" spans="1:5" ht="14.25" customHeight="1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ht="14.25" customHeight="1" x14ac:dyDescent="0.3">
      <c r="A3" s="4" t="s">
        <v>17</v>
      </c>
      <c r="B3" s="4" t="s">
        <v>18</v>
      </c>
      <c r="C3" s="4" t="s">
        <v>19</v>
      </c>
      <c r="D3" s="4" t="s">
        <v>20</v>
      </c>
      <c r="E3" s="4" t="s">
        <v>16</v>
      </c>
    </row>
    <row r="4" spans="1:5" ht="14.25" customHeight="1" x14ac:dyDescent="0.3">
      <c r="A4" s="4" t="s">
        <v>21</v>
      </c>
      <c r="B4" s="4" t="s">
        <v>22</v>
      </c>
      <c r="C4" s="4" t="s">
        <v>14</v>
      </c>
      <c r="D4" s="4" t="s">
        <v>15</v>
      </c>
      <c r="E4" s="4" t="s">
        <v>16</v>
      </c>
    </row>
    <row r="5" spans="1:5" ht="14.25" customHeight="1" x14ac:dyDescent="0.3">
      <c r="A5" s="4" t="s">
        <v>23</v>
      </c>
      <c r="B5" s="4" t="s">
        <v>24</v>
      </c>
      <c r="C5" s="4" t="s">
        <v>14</v>
      </c>
      <c r="D5" s="4" t="s">
        <v>15</v>
      </c>
      <c r="E5" s="4" t="s">
        <v>25</v>
      </c>
    </row>
    <row r="6" spans="1:5" ht="14.25" customHeight="1" x14ac:dyDescent="0.3">
      <c r="A6" s="4" t="s">
        <v>23</v>
      </c>
      <c r="B6" s="4" t="s">
        <v>26</v>
      </c>
      <c r="C6" s="4" t="s">
        <v>14</v>
      </c>
      <c r="D6" s="4" t="s">
        <v>15</v>
      </c>
      <c r="E6" s="4" t="s">
        <v>25</v>
      </c>
    </row>
    <row r="7" spans="1:5" ht="14.25" customHeight="1" x14ac:dyDescent="0.3">
      <c r="A7" s="4" t="s">
        <v>27</v>
      </c>
      <c r="B7" s="4" t="s">
        <v>28</v>
      </c>
      <c r="C7" s="4" t="s">
        <v>14</v>
      </c>
      <c r="D7" s="4" t="s">
        <v>29</v>
      </c>
      <c r="E7" s="4" t="s">
        <v>16</v>
      </c>
    </row>
    <row r="8" spans="1:5" ht="14.25" customHeight="1" x14ac:dyDescent="0.3">
      <c r="A8" s="4" t="s">
        <v>21</v>
      </c>
      <c r="B8" s="4" t="s">
        <v>22</v>
      </c>
      <c r="C8" s="4" t="s">
        <v>14</v>
      </c>
      <c r="D8" s="4" t="s">
        <v>15</v>
      </c>
      <c r="E8" s="4" t="s">
        <v>25</v>
      </c>
    </row>
    <row r="9" spans="1:5" ht="14.25" customHeight="1" x14ac:dyDescent="0.3">
      <c r="A9" s="4" t="s">
        <v>21</v>
      </c>
      <c r="B9" s="4" t="s">
        <v>22</v>
      </c>
      <c r="C9" s="4" t="s">
        <v>14</v>
      </c>
      <c r="D9" s="4" t="s">
        <v>30</v>
      </c>
      <c r="E9" s="4" t="s">
        <v>25</v>
      </c>
    </row>
    <row r="10" spans="1:5" ht="14.25" customHeight="1" x14ac:dyDescent="0.3">
      <c r="A10" s="4" t="s">
        <v>23</v>
      </c>
      <c r="B10" s="4" t="s">
        <v>28</v>
      </c>
      <c r="C10" s="4" t="s">
        <v>14</v>
      </c>
      <c r="D10" s="4" t="s">
        <v>20</v>
      </c>
      <c r="E10" s="4" t="s">
        <v>16</v>
      </c>
    </row>
    <row r="11" spans="1:5" ht="14.25" customHeight="1" x14ac:dyDescent="0.3">
      <c r="A11" s="4" t="s">
        <v>17</v>
      </c>
      <c r="B11" s="4" t="s">
        <v>31</v>
      </c>
      <c r="C11" s="4" t="s">
        <v>32</v>
      </c>
      <c r="D11" s="4" t="s">
        <v>33</v>
      </c>
      <c r="E11" s="4" t="s">
        <v>25</v>
      </c>
    </row>
    <row r="12" spans="1:5" ht="14.25" customHeight="1" x14ac:dyDescent="0.3">
      <c r="A12" s="4" t="s">
        <v>23</v>
      </c>
      <c r="B12" s="4" t="s">
        <v>24</v>
      </c>
      <c r="C12" s="4" t="s">
        <v>14</v>
      </c>
      <c r="D12" s="4" t="s">
        <v>15</v>
      </c>
      <c r="E12" s="4" t="s">
        <v>25</v>
      </c>
    </row>
    <row r="13" spans="1:5" ht="14.25" customHeight="1" x14ac:dyDescent="0.3">
      <c r="A13" s="4" t="s">
        <v>17</v>
      </c>
      <c r="B13" s="4" t="s">
        <v>24</v>
      </c>
      <c r="C13" s="4" t="s">
        <v>19</v>
      </c>
      <c r="D13" s="4" t="s">
        <v>20</v>
      </c>
      <c r="E13" s="4" t="s">
        <v>16</v>
      </c>
    </row>
    <row r="14" spans="1:5" ht="14.25" customHeight="1" x14ac:dyDescent="0.3">
      <c r="A14" s="4" t="s">
        <v>34</v>
      </c>
      <c r="B14" s="4" t="s">
        <v>35</v>
      </c>
      <c r="C14" s="4" t="s">
        <v>14</v>
      </c>
      <c r="D14" s="4" t="s">
        <v>29</v>
      </c>
      <c r="E14" s="4" t="s">
        <v>25</v>
      </c>
    </row>
    <row r="15" spans="1:5" ht="14.25" customHeight="1" x14ac:dyDescent="0.3">
      <c r="A15" s="4" t="s">
        <v>23</v>
      </c>
      <c r="B15" s="4" t="s">
        <v>26</v>
      </c>
      <c r="C15" s="4" t="s">
        <v>14</v>
      </c>
      <c r="D15" s="4" t="s">
        <v>15</v>
      </c>
      <c r="E15" s="4" t="s">
        <v>16</v>
      </c>
    </row>
    <row r="16" spans="1:5" ht="14.25" customHeight="1" x14ac:dyDescent="0.3">
      <c r="A16" s="4" t="s">
        <v>23</v>
      </c>
      <c r="B16" s="4" t="s">
        <v>35</v>
      </c>
      <c r="C16" s="4" t="s">
        <v>14</v>
      </c>
      <c r="D16" s="4" t="s">
        <v>20</v>
      </c>
      <c r="E16" s="4" t="s">
        <v>25</v>
      </c>
    </row>
    <row r="17" spans="1:5" ht="14.25" customHeight="1" x14ac:dyDescent="0.3">
      <c r="A17" s="4" t="s">
        <v>27</v>
      </c>
      <c r="B17" s="4" t="s">
        <v>28</v>
      </c>
      <c r="C17" s="4" t="s">
        <v>32</v>
      </c>
      <c r="D17" s="4" t="s">
        <v>36</v>
      </c>
      <c r="E17" s="4" t="s">
        <v>16</v>
      </c>
    </row>
    <row r="18" spans="1:5" ht="14.25" customHeight="1" x14ac:dyDescent="0.3">
      <c r="A18" s="4" t="s">
        <v>37</v>
      </c>
      <c r="B18" s="4" t="s">
        <v>35</v>
      </c>
      <c r="C18" s="4" t="s">
        <v>14</v>
      </c>
      <c r="D18" s="4" t="s">
        <v>29</v>
      </c>
      <c r="E18" s="4" t="s">
        <v>16</v>
      </c>
    </row>
    <row r="19" spans="1:5" ht="14.25" customHeight="1" x14ac:dyDescent="0.3">
      <c r="A19" s="4" t="s">
        <v>27</v>
      </c>
      <c r="B19" s="4" t="s">
        <v>28</v>
      </c>
      <c r="C19" s="4" t="s">
        <v>14</v>
      </c>
      <c r="D19" s="4" t="s">
        <v>29</v>
      </c>
      <c r="E19" s="4" t="s">
        <v>16</v>
      </c>
    </row>
    <row r="20" spans="1:5" ht="14.25" customHeight="1" x14ac:dyDescent="0.3">
      <c r="A20" s="4" t="s">
        <v>21</v>
      </c>
      <c r="B20" s="4" t="s">
        <v>22</v>
      </c>
      <c r="C20" s="4" t="s">
        <v>14</v>
      </c>
      <c r="D20" s="4" t="s">
        <v>15</v>
      </c>
      <c r="E20" s="4" t="s">
        <v>25</v>
      </c>
    </row>
    <row r="21" spans="1:5" ht="14.25" customHeight="1" x14ac:dyDescent="0.3">
      <c r="A21" s="4" t="s">
        <v>38</v>
      </c>
      <c r="B21" s="4" t="s">
        <v>35</v>
      </c>
      <c r="C21" s="4" t="s">
        <v>14</v>
      </c>
      <c r="D21" s="4" t="s">
        <v>29</v>
      </c>
      <c r="E21" s="4" t="s">
        <v>16</v>
      </c>
    </row>
    <row r="22" spans="1:5" ht="14.25" customHeight="1" x14ac:dyDescent="0.3">
      <c r="A22" s="4" t="s">
        <v>23</v>
      </c>
      <c r="B22" s="4" t="s">
        <v>39</v>
      </c>
      <c r="C22" s="4" t="s">
        <v>14</v>
      </c>
      <c r="D22" s="4" t="s">
        <v>30</v>
      </c>
      <c r="E22" s="4" t="s">
        <v>25</v>
      </c>
    </row>
    <row r="23" spans="1:5" ht="14.25" customHeight="1" x14ac:dyDescent="0.3">
      <c r="A23" s="4" t="s">
        <v>21</v>
      </c>
      <c r="B23" s="4" t="s">
        <v>22</v>
      </c>
      <c r="C23" s="4" t="s">
        <v>32</v>
      </c>
      <c r="D23" s="4" t="s">
        <v>20</v>
      </c>
      <c r="E23" s="4" t="s">
        <v>25</v>
      </c>
    </row>
    <row r="24" spans="1:5" ht="14.25" customHeight="1" x14ac:dyDescent="0.3">
      <c r="A24" s="4" t="s">
        <v>21</v>
      </c>
      <c r="B24" s="4" t="s">
        <v>22</v>
      </c>
      <c r="C24" s="4" t="s">
        <v>14</v>
      </c>
      <c r="D24" s="4" t="s">
        <v>15</v>
      </c>
      <c r="E24" s="4" t="s">
        <v>25</v>
      </c>
    </row>
    <row r="25" spans="1:5" ht="14.25" customHeight="1" x14ac:dyDescent="0.3">
      <c r="A25" s="4" t="s">
        <v>23</v>
      </c>
      <c r="B25" s="4" t="s">
        <v>28</v>
      </c>
      <c r="C25" s="4" t="s">
        <v>14</v>
      </c>
      <c r="D25" s="4" t="s">
        <v>30</v>
      </c>
      <c r="E25" s="4" t="s">
        <v>16</v>
      </c>
    </row>
    <row r="26" spans="1:5" ht="14.25" customHeight="1" x14ac:dyDescent="0.3">
      <c r="A26" s="4" t="s">
        <v>27</v>
      </c>
      <c r="B26" s="4" t="s">
        <v>28</v>
      </c>
      <c r="C26" s="4" t="s">
        <v>32</v>
      </c>
      <c r="D26" s="4" t="s">
        <v>36</v>
      </c>
      <c r="E26" s="4" t="s">
        <v>25</v>
      </c>
    </row>
    <row r="27" spans="1:5" ht="14.25" customHeight="1" x14ac:dyDescent="0.3">
      <c r="A27" s="4" t="s">
        <v>17</v>
      </c>
      <c r="B27" s="4" t="s">
        <v>31</v>
      </c>
      <c r="C27" s="4" t="s">
        <v>32</v>
      </c>
      <c r="D27" s="4" t="s">
        <v>20</v>
      </c>
      <c r="E27" s="4" t="s">
        <v>25</v>
      </c>
    </row>
    <row r="28" spans="1:5" ht="14.25" customHeight="1" x14ac:dyDescent="0.3">
      <c r="A28" s="4" t="s">
        <v>21</v>
      </c>
      <c r="B28" s="4" t="s">
        <v>22</v>
      </c>
      <c r="C28" s="4" t="s">
        <v>14</v>
      </c>
      <c r="D28" s="4" t="s">
        <v>15</v>
      </c>
      <c r="E28" s="4" t="s">
        <v>16</v>
      </c>
    </row>
    <row r="29" spans="1:5" ht="14.25" customHeight="1" x14ac:dyDescent="0.3">
      <c r="A29" s="4" t="s">
        <v>17</v>
      </c>
      <c r="B29" s="4" t="s">
        <v>24</v>
      </c>
      <c r="C29" s="4" t="s">
        <v>14</v>
      </c>
      <c r="D29" s="4" t="s">
        <v>20</v>
      </c>
      <c r="E29" s="4" t="s">
        <v>25</v>
      </c>
    </row>
    <row r="30" spans="1:5" ht="14.25" customHeight="1" x14ac:dyDescent="0.3">
      <c r="A30" s="4" t="s">
        <v>17</v>
      </c>
      <c r="B30" s="4" t="s">
        <v>26</v>
      </c>
      <c r="C30" s="4" t="s">
        <v>32</v>
      </c>
      <c r="D30" s="4" t="s">
        <v>40</v>
      </c>
      <c r="E30" s="4" t="s">
        <v>25</v>
      </c>
    </row>
    <row r="31" spans="1:5" ht="14.25" customHeight="1" x14ac:dyDescent="0.3">
      <c r="A31" s="4" t="s">
        <v>41</v>
      </c>
      <c r="B31" s="4" t="s">
        <v>28</v>
      </c>
      <c r="C31" s="4" t="s">
        <v>14</v>
      </c>
      <c r="D31" s="4" t="s">
        <v>15</v>
      </c>
      <c r="E31" s="4" t="s">
        <v>25</v>
      </c>
    </row>
    <row r="32" spans="1:5" ht="14.25" customHeight="1" x14ac:dyDescent="0.3">
      <c r="A32" s="4" t="s">
        <v>41</v>
      </c>
      <c r="B32" s="4" t="s">
        <v>28</v>
      </c>
      <c r="C32" s="4" t="s">
        <v>32</v>
      </c>
      <c r="D32" s="4" t="s">
        <v>15</v>
      </c>
      <c r="E32" s="4" t="s">
        <v>25</v>
      </c>
    </row>
    <row r="33" spans="1:5" ht="14.25" customHeight="1" x14ac:dyDescent="0.3">
      <c r="A33" s="4" t="s">
        <v>27</v>
      </c>
      <c r="B33" s="4" t="s">
        <v>28</v>
      </c>
      <c r="C33" s="4" t="s">
        <v>14</v>
      </c>
      <c r="D33" s="4" t="s">
        <v>29</v>
      </c>
      <c r="E33" s="4" t="s">
        <v>16</v>
      </c>
    </row>
    <row r="34" spans="1:5" ht="14.25" customHeight="1" x14ac:dyDescent="0.3">
      <c r="A34" s="4" t="s">
        <v>17</v>
      </c>
      <c r="B34" s="4" t="s">
        <v>26</v>
      </c>
      <c r="C34" s="4" t="s">
        <v>19</v>
      </c>
      <c r="D34" s="4" t="s">
        <v>15</v>
      </c>
      <c r="E34" s="4" t="s">
        <v>16</v>
      </c>
    </row>
    <row r="35" spans="1:5" ht="14.25" customHeight="1" x14ac:dyDescent="0.3">
      <c r="A35" s="4" t="s">
        <v>42</v>
      </c>
      <c r="B35" s="4" t="s">
        <v>26</v>
      </c>
      <c r="C35" s="4" t="s">
        <v>14</v>
      </c>
      <c r="D35" s="4" t="s">
        <v>30</v>
      </c>
      <c r="E35" s="4" t="s">
        <v>16</v>
      </c>
    </row>
    <row r="36" spans="1:5" ht="14.25" customHeight="1" x14ac:dyDescent="0.3">
      <c r="A36" s="4" t="s">
        <v>27</v>
      </c>
      <c r="B36" s="4" t="s">
        <v>28</v>
      </c>
      <c r="C36" s="4" t="s">
        <v>14</v>
      </c>
      <c r="D36" s="4" t="s">
        <v>29</v>
      </c>
      <c r="E36" s="4" t="s">
        <v>16</v>
      </c>
    </row>
    <row r="37" spans="1:5" ht="14.25" customHeight="1" x14ac:dyDescent="0.3">
      <c r="A37" s="4" t="s">
        <v>23</v>
      </c>
      <c r="B37" s="4" t="s">
        <v>26</v>
      </c>
      <c r="C37" s="4" t="s">
        <v>14</v>
      </c>
      <c r="D37" s="4" t="s">
        <v>30</v>
      </c>
      <c r="E37" s="4" t="s">
        <v>16</v>
      </c>
    </row>
    <row r="38" spans="1:5" ht="14.25" customHeight="1" x14ac:dyDescent="0.3">
      <c r="A38" s="4" t="s">
        <v>21</v>
      </c>
      <c r="B38" s="4" t="s">
        <v>43</v>
      </c>
      <c r="C38" s="4" t="s">
        <v>14</v>
      </c>
      <c r="D38" s="4" t="s">
        <v>15</v>
      </c>
      <c r="E38" s="4" t="s">
        <v>25</v>
      </c>
    </row>
    <row r="39" spans="1:5" ht="14.25" customHeight="1" x14ac:dyDescent="0.3">
      <c r="A39" s="4" t="s">
        <v>23</v>
      </c>
      <c r="B39" s="4" t="s">
        <v>26</v>
      </c>
      <c r="C39" s="4" t="s">
        <v>14</v>
      </c>
      <c r="D39" s="4" t="s">
        <v>30</v>
      </c>
      <c r="E39" s="4" t="s">
        <v>16</v>
      </c>
    </row>
    <row r="40" spans="1:5" ht="14.25" customHeight="1" x14ac:dyDescent="0.3">
      <c r="A40" s="4" t="s">
        <v>23</v>
      </c>
      <c r="B40" s="4" t="s">
        <v>26</v>
      </c>
      <c r="C40" s="4" t="s">
        <v>14</v>
      </c>
      <c r="D40" s="4" t="s">
        <v>20</v>
      </c>
      <c r="E40" s="4" t="s">
        <v>25</v>
      </c>
    </row>
    <row r="41" spans="1:5" ht="14.25" customHeight="1" x14ac:dyDescent="0.3">
      <c r="A41" s="4" t="s">
        <v>44</v>
      </c>
      <c r="B41" s="4" t="s">
        <v>35</v>
      </c>
      <c r="C41" s="4" t="s">
        <v>14</v>
      </c>
      <c r="D41" s="4" t="s">
        <v>36</v>
      </c>
      <c r="E41" s="4" t="s">
        <v>25</v>
      </c>
    </row>
    <row r="42" spans="1:5" ht="14.25" customHeight="1" x14ac:dyDescent="0.3">
      <c r="A42" s="4" t="s">
        <v>21</v>
      </c>
      <c r="B42" s="4" t="s">
        <v>22</v>
      </c>
      <c r="C42" s="4" t="s">
        <v>14</v>
      </c>
      <c r="D42" s="4" t="s">
        <v>20</v>
      </c>
      <c r="E42" s="4" t="s">
        <v>25</v>
      </c>
    </row>
    <row r="43" spans="1:5" ht="14.25" customHeight="1" x14ac:dyDescent="0.3">
      <c r="A43" s="4" t="s">
        <v>17</v>
      </c>
      <c r="B43" s="4" t="s">
        <v>24</v>
      </c>
      <c r="C43" s="4" t="s">
        <v>19</v>
      </c>
      <c r="D43" s="4" t="s">
        <v>20</v>
      </c>
      <c r="E43" s="4" t="s">
        <v>16</v>
      </c>
    </row>
    <row r="44" spans="1:5" ht="14.25" customHeight="1" x14ac:dyDescent="0.3">
      <c r="A44" s="4" t="s">
        <v>34</v>
      </c>
      <c r="B44" s="4" t="s">
        <v>26</v>
      </c>
      <c r="C44" s="4" t="s">
        <v>14</v>
      </c>
      <c r="D44" s="4" t="s">
        <v>30</v>
      </c>
      <c r="E44" s="4" t="s">
        <v>16</v>
      </c>
    </row>
    <row r="45" spans="1:5" ht="14.25" customHeight="1" x14ac:dyDescent="0.3">
      <c r="A45" s="4" t="s">
        <v>34</v>
      </c>
      <c r="B45" s="4" t="s">
        <v>45</v>
      </c>
      <c r="C45" s="4" t="s">
        <v>14</v>
      </c>
      <c r="D45" s="4" t="s">
        <v>15</v>
      </c>
      <c r="E45" s="4" t="s">
        <v>16</v>
      </c>
    </row>
    <row r="46" spans="1:5" ht="14.25" customHeight="1" x14ac:dyDescent="0.3">
      <c r="A46" s="4" t="s">
        <v>41</v>
      </c>
      <c r="B46" s="4" t="s">
        <v>28</v>
      </c>
      <c r="C46" s="4" t="s">
        <v>14</v>
      </c>
      <c r="D46" s="4" t="s">
        <v>15</v>
      </c>
      <c r="E46" s="4" t="s">
        <v>25</v>
      </c>
    </row>
    <row r="47" spans="1:5" ht="14.25" customHeight="1" x14ac:dyDescent="0.3">
      <c r="A47" s="4" t="s">
        <v>23</v>
      </c>
      <c r="B47" s="4" t="s">
        <v>26</v>
      </c>
      <c r="C47" s="4" t="s">
        <v>14</v>
      </c>
      <c r="D47" s="4" t="s">
        <v>15</v>
      </c>
      <c r="E47" s="4" t="s">
        <v>25</v>
      </c>
    </row>
    <row r="48" spans="1:5" ht="14.25" customHeight="1" x14ac:dyDescent="0.3">
      <c r="A48" s="4" t="s">
        <v>23</v>
      </c>
      <c r="B48" s="4" t="s">
        <v>28</v>
      </c>
      <c r="C48" s="4" t="s">
        <v>14</v>
      </c>
      <c r="D48" s="4" t="s">
        <v>20</v>
      </c>
      <c r="E48" s="4" t="s">
        <v>16</v>
      </c>
    </row>
    <row r="49" spans="1:5" ht="14.25" customHeight="1" x14ac:dyDescent="0.3">
      <c r="A49" s="4" t="s">
        <v>21</v>
      </c>
      <c r="B49" s="4" t="s">
        <v>22</v>
      </c>
      <c r="C49" s="4" t="s">
        <v>14</v>
      </c>
      <c r="D49" s="4" t="s">
        <v>30</v>
      </c>
      <c r="E49" s="4" t="s">
        <v>25</v>
      </c>
    </row>
    <row r="50" spans="1:5" ht="14.25" customHeight="1" x14ac:dyDescent="0.3">
      <c r="A50" s="4" t="s">
        <v>21</v>
      </c>
      <c r="B50" s="4" t="s">
        <v>22</v>
      </c>
      <c r="C50" s="4" t="s">
        <v>14</v>
      </c>
      <c r="D50" s="4" t="s">
        <v>30</v>
      </c>
      <c r="E50" s="4" t="s">
        <v>16</v>
      </c>
    </row>
    <row r="51" spans="1:5" ht="14.25" customHeight="1" x14ac:dyDescent="0.3">
      <c r="A51" s="4" t="s">
        <v>21</v>
      </c>
      <c r="B51" s="4" t="s">
        <v>22</v>
      </c>
      <c r="C51" s="4" t="s">
        <v>19</v>
      </c>
      <c r="D51" s="4" t="s">
        <v>15</v>
      </c>
      <c r="E51" s="4" t="s">
        <v>25</v>
      </c>
    </row>
    <row r="52" spans="1:5" ht="14.25" customHeight="1" x14ac:dyDescent="0.3">
      <c r="A52" s="4" t="s">
        <v>27</v>
      </c>
      <c r="B52" s="4" t="s">
        <v>28</v>
      </c>
      <c r="C52" s="4" t="s">
        <v>14</v>
      </c>
      <c r="D52" s="4" t="s">
        <v>36</v>
      </c>
      <c r="E52" s="4" t="s">
        <v>16</v>
      </c>
    </row>
    <row r="53" spans="1:5" ht="14.25" customHeight="1" x14ac:dyDescent="0.3">
      <c r="A53" s="4" t="s">
        <v>23</v>
      </c>
      <c r="B53" s="4" t="s">
        <v>26</v>
      </c>
      <c r="C53" s="4" t="s">
        <v>14</v>
      </c>
      <c r="D53" s="4" t="s">
        <v>15</v>
      </c>
      <c r="E53" s="4" t="s">
        <v>25</v>
      </c>
    </row>
    <row r="54" spans="1:5" ht="14.25" customHeight="1" x14ac:dyDescent="0.3">
      <c r="A54" s="4" t="s">
        <v>46</v>
      </c>
      <c r="B54" s="4" t="s">
        <v>28</v>
      </c>
      <c r="C54" s="4" t="s">
        <v>14</v>
      </c>
      <c r="D54" s="4" t="s">
        <v>29</v>
      </c>
      <c r="E54" s="4" t="s">
        <v>16</v>
      </c>
    </row>
    <row r="55" spans="1:5" ht="14.25" customHeight="1" x14ac:dyDescent="0.3">
      <c r="A55" s="4" t="s">
        <v>17</v>
      </c>
      <c r="B55" s="4" t="s">
        <v>26</v>
      </c>
      <c r="C55" s="4" t="s">
        <v>14</v>
      </c>
      <c r="D55" s="4" t="s">
        <v>20</v>
      </c>
      <c r="E55" s="4" t="s">
        <v>16</v>
      </c>
    </row>
    <row r="56" spans="1:5" ht="14.25" customHeight="1" x14ac:dyDescent="0.3">
      <c r="A56" s="4" t="s">
        <v>27</v>
      </c>
      <c r="B56" s="4" t="s">
        <v>28</v>
      </c>
      <c r="C56" s="4" t="s">
        <v>14</v>
      </c>
      <c r="D56" s="4" t="s">
        <v>29</v>
      </c>
      <c r="E56" s="4" t="s">
        <v>16</v>
      </c>
    </row>
    <row r="57" spans="1:5" ht="14.25" customHeight="1" x14ac:dyDescent="0.3">
      <c r="A57" s="4" t="s">
        <v>42</v>
      </c>
      <c r="B57" s="4" t="s">
        <v>39</v>
      </c>
      <c r="C57" s="4" t="s">
        <v>14</v>
      </c>
      <c r="D57" s="4" t="s">
        <v>20</v>
      </c>
      <c r="E57" s="4" t="s">
        <v>16</v>
      </c>
    </row>
    <row r="58" spans="1:5" ht="14.25" customHeight="1" x14ac:dyDescent="0.3">
      <c r="A58" s="4" t="s">
        <v>23</v>
      </c>
      <c r="B58" s="4" t="s">
        <v>26</v>
      </c>
      <c r="C58" s="4" t="s">
        <v>14</v>
      </c>
      <c r="D58" s="4" t="s">
        <v>15</v>
      </c>
      <c r="E58" s="4" t="s">
        <v>25</v>
      </c>
    </row>
    <row r="59" spans="1:5" ht="14.25" customHeight="1" x14ac:dyDescent="0.3">
      <c r="A59" s="4" t="s">
        <v>23</v>
      </c>
      <c r="B59" s="4" t="s">
        <v>39</v>
      </c>
      <c r="C59" s="4" t="s">
        <v>14</v>
      </c>
      <c r="D59" s="4" t="s">
        <v>30</v>
      </c>
      <c r="E59" s="4" t="s">
        <v>25</v>
      </c>
    </row>
    <row r="60" spans="1:5" ht="14.25" customHeight="1" x14ac:dyDescent="0.3">
      <c r="A60" s="4" t="s">
        <v>34</v>
      </c>
      <c r="B60" s="4" t="s">
        <v>26</v>
      </c>
      <c r="C60" s="4" t="s">
        <v>14</v>
      </c>
      <c r="D60" s="4" t="s">
        <v>29</v>
      </c>
      <c r="E60" s="4" t="s">
        <v>16</v>
      </c>
    </row>
    <row r="61" spans="1:5" ht="14.25" customHeight="1" x14ac:dyDescent="0.3">
      <c r="A61" s="4" t="s">
        <v>21</v>
      </c>
      <c r="B61" s="4" t="s">
        <v>22</v>
      </c>
      <c r="C61" s="4" t="s">
        <v>14</v>
      </c>
      <c r="D61" s="4" t="s">
        <v>20</v>
      </c>
      <c r="E61" s="4" t="s">
        <v>25</v>
      </c>
    </row>
    <row r="62" spans="1:5" ht="14.25" customHeight="1" x14ac:dyDescent="0.3">
      <c r="A62" s="4" t="s">
        <v>23</v>
      </c>
      <c r="B62" s="4" t="s">
        <v>35</v>
      </c>
      <c r="C62" s="4" t="s">
        <v>14</v>
      </c>
      <c r="D62" s="4" t="s">
        <v>20</v>
      </c>
      <c r="E62" s="4" t="s">
        <v>25</v>
      </c>
    </row>
    <row r="63" spans="1:5" ht="14.25" customHeight="1" x14ac:dyDescent="0.3">
      <c r="A63" s="4" t="s">
        <v>46</v>
      </c>
      <c r="B63" s="4" t="s">
        <v>28</v>
      </c>
      <c r="C63" s="4" t="s">
        <v>14</v>
      </c>
      <c r="D63" s="4" t="s">
        <v>15</v>
      </c>
      <c r="E63" s="4" t="s">
        <v>16</v>
      </c>
    </row>
    <row r="64" spans="1:5" ht="14.25" customHeight="1" x14ac:dyDescent="0.3">
      <c r="A64" s="4" t="s">
        <v>17</v>
      </c>
      <c r="B64" s="4" t="s">
        <v>31</v>
      </c>
      <c r="C64" s="4" t="s">
        <v>32</v>
      </c>
      <c r="D64" s="4" t="s">
        <v>20</v>
      </c>
      <c r="E64" s="4" t="s">
        <v>25</v>
      </c>
    </row>
    <row r="65" spans="1:5" ht="14.25" customHeight="1" x14ac:dyDescent="0.3">
      <c r="A65" s="4" t="s">
        <v>23</v>
      </c>
      <c r="B65" s="4" t="s">
        <v>26</v>
      </c>
      <c r="C65" s="4" t="s">
        <v>14</v>
      </c>
      <c r="D65" s="4" t="s">
        <v>20</v>
      </c>
      <c r="E65" s="4" t="s">
        <v>16</v>
      </c>
    </row>
    <row r="66" spans="1:5" ht="14.25" customHeight="1" x14ac:dyDescent="0.3">
      <c r="A66" s="4" t="s">
        <v>21</v>
      </c>
      <c r="B66" s="4" t="s">
        <v>22</v>
      </c>
      <c r="C66" s="4" t="s">
        <v>14</v>
      </c>
      <c r="D66" s="4" t="s">
        <v>15</v>
      </c>
      <c r="E66" s="4" t="s">
        <v>25</v>
      </c>
    </row>
    <row r="67" spans="1:5" ht="14.25" customHeight="1" x14ac:dyDescent="0.3">
      <c r="A67" s="4" t="s">
        <v>21</v>
      </c>
      <c r="B67" s="4" t="s">
        <v>22</v>
      </c>
      <c r="C67" s="4" t="s">
        <v>32</v>
      </c>
      <c r="D67" s="4" t="s">
        <v>29</v>
      </c>
      <c r="E67" s="4" t="s">
        <v>25</v>
      </c>
    </row>
    <row r="68" spans="1:5" ht="14.25" customHeight="1" x14ac:dyDescent="0.3">
      <c r="A68" s="4" t="s">
        <v>41</v>
      </c>
      <c r="B68" s="4" t="s">
        <v>24</v>
      </c>
      <c r="C68" s="4" t="s">
        <v>14</v>
      </c>
      <c r="D68" s="4" t="s">
        <v>30</v>
      </c>
      <c r="E68" s="4" t="s">
        <v>16</v>
      </c>
    </row>
    <row r="69" spans="1:5" ht="14.25" customHeight="1" x14ac:dyDescent="0.3">
      <c r="A69" s="4" t="s">
        <v>41</v>
      </c>
      <c r="B69" s="4" t="s">
        <v>24</v>
      </c>
      <c r="C69" s="4" t="s">
        <v>14</v>
      </c>
      <c r="D69" s="4" t="s">
        <v>30</v>
      </c>
      <c r="E69" s="4" t="s">
        <v>25</v>
      </c>
    </row>
    <row r="70" spans="1:5" ht="14.25" customHeight="1" x14ac:dyDescent="0.3">
      <c r="A70" s="4" t="s">
        <v>47</v>
      </c>
      <c r="B70" s="4" t="s">
        <v>13</v>
      </c>
      <c r="C70" s="4" t="s">
        <v>14</v>
      </c>
      <c r="D70" s="4" t="s">
        <v>20</v>
      </c>
      <c r="E70" s="4" t="s">
        <v>16</v>
      </c>
    </row>
    <row r="71" spans="1:5" ht="14.25" customHeight="1" x14ac:dyDescent="0.3">
      <c r="A71" s="4" t="s">
        <v>34</v>
      </c>
      <c r="B71" s="4" t="s">
        <v>35</v>
      </c>
      <c r="C71" s="4" t="s">
        <v>14</v>
      </c>
      <c r="D71" s="4" t="s">
        <v>30</v>
      </c>
      <c r="E71" s="4" t="s">
        <v>25</v>
      </c>
    </row>
    <row r="72" spans="1:5" ht="14.25" customHeight="1" x14ac:dyDescent="0.3">
      <c r="A72" s="4" t="s">
        <v>46</v>
      </c>
      <c r="B72" s="4" t="s">
        <v>28</v>
      </c>
      <c r="C72" s="4" t="s">
        <v>14</v>
      </c>
      <c r="D72" s="4" t="s">
        <v>29</v>
      </c>
      <c r="E72" s="4" t="s">
        <v>16</v>
      </c>
    </row>
    <row r="73" spans="1:5" ht="14.25" customHeight="1" x14ac:dyDescent="0.3">
      <c r="A73" s="4" t="s">
        <v>12</v>
      </c>
      <c r="B73" s="4" t="s">
        <v>48</v>
      </c>
      <c r="C73" s="4" t="s">
        <v>14</v>
      </c>
      <c r="D73" s="4" t="s">
        <v>30</v>
      </c>
      <c r="E73" s="4" t="s">
        <v>16</v>
      </c>
    </row>
    <row r="74" spans="1:5" ht="14.25" customHeight="1" x14ac:dyDescent="0.3">
      <c r="A74" s="4" t="s">
        <v>23</v>
      </c>
      <c r="B74" s="4" t="s">
        <v>28</v>
      </c>
      <c r="C74" s="4" t="s">
        <v>14</v>
      </c>
      <c r="D74" s="4" t="s">
        <v>15</v>
      </c>
      <c r="E74" s="4" t="s">
        <v>25</v>
      </c>
    </row>
    <row r="75" spans="1:5" ht="14.25" customHeight="1" x14ac:dyDescent="0.3">
      <c r="A75" s="4" t="s">
        <v>46</v>
      </c>
      <c r="B75" s="4" t="s">
        <v>24</v>
      </c>
      <c r="C75" s="4" t="s">
        <v>49</v>
      </c>
      <c r="D75" s="4" t="s">
        <v>29</v>
      </c>
      <c r="E75" s="4" t="s">
        <v>25</v>
      </c>
    </row>
    <row r="76" spans="1:5" ht="14.25" customHeight="1" x14ac:dyDescent="0.3">
      <c r="A76" s="4" t="s">
        <v>27</v>
      </c>
      <c r="B76" s="4" t="s">
        <v>28</v>
      </c>
      <c r="C76" s="4" t="s">
        <v>14</v>
      </c>
      <c r="D76" s="4" t="s">
        <v>36</v>
      </c>
      <c r="E76" s="4" t="s">
        <v>16</v>
      </c>
    </row>
    <row r="77" spans="1:5" ht="14.25" customHeight="1" x14ac:dyDescent="0.3">
      <c r="A77" s="4" t="s">
        <v>44</v>
      </c>
      <c r="B77" s="4" t="s">
        <v>22</v>
      </c>
      <c r="C77" s="4" t="s">
        <v>14</v>
      </c>
      <c r="D77" s="4" t="s">
        <v>36</v>
      </c>
      <c r="E77" s="4" t="s">
        <v>25</v>
      </c>
    </row>
    <row r="78" spans="1:5" ht="14.25" customHeight="1" x14ac:dyDescent="0.3">
      <c r="A78" s="4" t="s">
        <v>27</v>
      </c>
      <c r="B78" s="4" t="s">
        <v>28</v>
      </c>
      <c r="C78" s="4" t="s">
        <v>14</v>
      </c>
      <c r="D78" s="4" t="s">
        <v>29</v>
      </c>
      <c r="E78" s="4" t="s">
        <v>16</v>
      </c>
    </row>
    <row r="79" spans="1:5" ht="14.25" customHeight="1" x14ac:dyDescent="0.3">
      <c r="A79" s="4" t="s">
        <v>50</v>
      </c>
      <c r="B79" s="4" t="s">
        <v>51</v>
      </c>
      <c r="C79" s="4" t="s">
        <v>14</v>
      </c>
      <c r="D79" s="4" t="s">
        <v>40</v>
      </c>
      <c r="E79" s="4" t="s">
        <v>25</v>
      </c>
    </row>
    <row r="80" spans="1:5" ht="14.25" customHeight="1" x14ac:dyDescent="0.3">
      <c r="A80" s="4" t="s">
        <v>17</v>
      </c>
      <c r="B80" s="4" t="s">
        <v>31</v>
      </c>
      <c r="C80" s="4" t="s">
        <v>19</v>
      </c>
      <c r="D80" s="4" t="s">
        <v>33</v>
      </c>
      <c r="E80" s="4" t="s">
        <v>16</v>
      </c>
    </row>
    <row r="81" spans="1:5" ht="14.25" customHeight="1" x14ac:dyDescent="0.3">
      <c r="A81" s="4" t="s">
        <v>34</v>
      </c>
      <c r="B81" s="4" t="s">
        <v>35</v>
      </c>
      <c r="C81" s="4" t="s">
        <v>14</v>
      </c>
      <c r="D81" s="4" t="s">
        <v>15</v>
      </c>
      <c r="E81" s="4" t="s">
        <v>16</v>
      </c>
    </row>
    <row r="82" spans="1:5" ht="14.25" customHeight="1" x14ac:dyDescent="0.3">
      <c r="A82" s="4" t="s">
        <v>21</v>
      </c>
      <c r="B82" s="4" t="s">
        <v>43</v>
      </c>
      <c r="C82" s="4" t="s">
        <v>14</v>
      </c>
      <c r="D82" s="4" t="s">
        <v>33</v>
      </c>
      <c r="E82" s="4" t="s">
        <v>16</v>
      </c>
    </row>
    <row r="83" spans="1:5" ht="14.25" customHeight="1" x14ac:dyDescent="0.3">
      <c r="A83" s="4" t="s">
        <v>27</v>
      </c>
      <c r="B83" s="4" t="s">
        <v>28</v>
      </c>
      <c r="C83" s="4" t="s">
        <v>14</v>
      </c>
      <c r="D83" s="4" t="s">
        <v>29</v>
      </c>
      <c r="E83" s="4" t="s">
        <v>16</v>
      </c>
    </row>
    <row r="84" spans="1:5" ht="14.25" customHeight="1" x14ac:dyDescent="0.3">
      <c r="A84" s="4" t="s">
        <v>27</v>
      </c>
      <c r="B84" s="4" t="s">
        <v>28</v>
      </c>
      <c r="C84" s="4" t="s">
        <v>14</v>
      </c>
      <c r="D84" s="4" t="s">
        <v>29</v>
      </c>
      <c r="E84" s="4" t="s">
        <v>16</v>
      </c>
    </row>
    <row r="85" spans="1:5" ht="14.25" customHeight="1" x14ac:dyDescent="0.3">
      <c r="A85" s="4" t="s">
        <v>21</v>
      </c>
      <c r="B85" s="4" t="s">
        <v>28</v>
      </c>
      <c r="C85" s="4" t="s">
        <v>14</v>
      </c>
      <c r="D85" s="4" t="s">
        <v>20</v>
      </c>
      <c r="E85" s="4" t="s">
        <v>25</v>
      </c>
    </row>
    <row r="86" spans="1:5" ht="14.25" customHeight="1" x14ac:dyDescent="0.3">
      <c r="A86" s="4" t="s">
        <v>27</v>
      </c>
      <c r="B86" s="4" t="s">
        <v>28</v>
      </c>
      <c r="C86" s="4" t="s">
        <v>14</v>
      </c>
      <c r="D86" s="4" t="s">
        <v>29</v>
      </c>
      <c r="E86" s="4" t="s">
        <v>25</v>
      </c>
    </row>
    <row r="87" spans="1:5" ht="14.25" customHeight="1" x14ac:dyDescent="0.3">
      <c r="A87" s="4" t="s">
        <v>23</v>
      </c>
      <c r="B87" s="4" t="s">
        <v>26</v>
      </c>
      <c r="C87" s="4" t="s">
        <v>14</v>
      </c>
      <c r="D87" s="4" t="s">
        <v>15</v>
      </c>
      <c r="E87" s="4" t="s">
        <v>25</v>
      </c>
    </row>
    <row r="88" spans="1:5" ht="14.25" customHeight="1" x14ac:dyDescent="0.3">
      <c r="A88" s="4" t="s">
        <v>17</v>
      </c>
      <c r="B88" s="4" t="s">
        <v>26</v>
      </c>
      <c r="C88" s="4" t="s">
        <v>32</v>
      </c>
      <c r="D88" s="4" t="s">
        <v>40</v>
      </c>
      <c r="E88" s="4" t="s">
        <v>16</v>
      </c>
    </row>
    <row r="89" spans="1:5" ht="14.25" customHeight="1" x14ac:dyDescent="0.3">
      <c r="A89" s="4" t="s">
        <v>52</v>
      </c>
      <c r="B89" s="4" t="s">
        <v>28</v>
      </c>
      <c r="C89" s="4" t="s">
        <v>14</v>
      </c>
      <c r="D89" s="4" t="s">
        <v>20</v>
      </c>
      <c r="E89" s="4" t="s">
        <v>25</v>
      </c>
    </row>
    <row r="90" spans="1:5" ht="14.25" customHeight="1" x14ac:dyDescent="0.3">
      <c r="A90" s="4" t="s">
        <v>44</v>
      </c>
      <c r="B90" s="4" t="s">
        <v>22</v>
      </c>
      <c r="C90" s="4" t="s">
        <v>14</v>
      </c>
      <c r="D90" s="4" t="s">
        <v>20</v>
      </c>
      <c r="E90" s="4" t="s">
        <v>16</v>
      </c>
    </row>
    <row r="91" spans="1:5" ht="14.25" customHeight="1" x14ac:dyDescent="0.3">
      <c r="A91" s="4" t="s">
        <v>21</v>
      </c>
      <c r="B91" s="4" t="s">
        <v>22</v>
      </c>
      <c r="C91" s="4" t="s">
        <v>14</v>
      </c>
      <c r="D91" s="4" t="s">
        <v>15</v>
      </c>
      <c r="E91" s="4" t="s">
        <v>25</v>
      </c>
    </row>
    <row r="92" spans="1:5" ht="14.25" customHeight="1" x14ac:dyDescent="0.3">
      <c r="A92" s="4" t="s">
        <v>44</v>
      </c>
      <c r="B92" s="4" t="s">
        <v>22</v>
      </c>
      <c r="C92" s="4" t="s">
        <v>14</v>
      </c>
      <c r="D92" s="4" t="s">
        <v>36</v>
      </c>
      <c r="E92" s="4" t="s">
        <v>25</v>
      </c>
    </row>
    <row r="93" spans="1:5" ht="14.25" customHeight="1" x14ac:dyDescent="0.3">
      <c r="A93" s="4" t="s">
        <v>17</v>
      </c>
      <c r="B93" s="4" t="s">
        <v>31</v>
      </c>
      <c r="C93" s="4" t="s">
        <v>32</v>
      </c>
      <c r="D93" s="4" t="s">
        <v>33</v>
      </c>
      <c r="E93" s="4" t="s">
        <v>25</v>
      </c>
    </row>
    <row r="94" spans="1:5" ht="14.25" customHeight="1" x14ac:dyDescent="0.3">
      <c r="A94" s="4" t="s">
        <v>21</v>
      </c>
      <c r="B94" s="4" t="s">
        <v>22</v>
      </c>
      <c r="C94" s="4" t="s">
        <v>32</v>
      </c>
      <c r="D94" s="4" t="s">
        <v>36</v>
      </c>
      <c r="E94" s="4" t="s">
        <v>25</v>
      </c>
    </row>
    <row r="95" spans="1:5" ht="14.25" customHeight="1" x14ac:dyDescent="0.3">
      <c r="A95" s="4" t="s">
        <v>41</v>
      </c>
      <c r="B95" s="4" t="s">
        <v>39</v>
      </c>
      <c r="C95" s="4" t="s">
        <v>14</v>
      </c>
      <c r="D95" s="4" t="s">
        <v>15</v>
      </c>
      <c r="E95" s="4" t="s">
        <v>25</v>
      </c>
    </row>
    <row r="96" spans="1:5" ht="14.25" customHeight="1" x14ac:dyDescent="0.3">
      <c r="A96" s="4" t="s">
        <v>23</v>
      </c>
      <c r="B96" s="4" t="s">
        <v>28</v>
      </c>
      <c r="C96" s="4" t="s">
        <v>14</v>
      </c>
      <c r="D96" s="4" t="s">
        <v>20</v>
      </c>
      <c r="E96" s="4" t="s">
        <v>16</v>
      </c>
    </row>
    <row r="97" spans="1:5" ht="14.25" customHeight="1" x14ac:dyDescent="0.3">
      <c r="A97" s="4" t="s">
        <v>21</v>
      </c>
      <c r="B97" s="4" t="s">
        <v>22</v>
      </c>
      <c r="C97" s="4" t="s">
        <v>14</v>
      </c>
      <c r="D97" s="4" t="s">
        <v>15</v>
      </c>
      <c r="E97" s="4" t="s">
        <v>25</v>
      </c>
    </row>
    <row r="98" spans="1:5" ht="14.25" customHeight="1" x14ac:dyDescent="0.3">
      <c r="A98" s="4" t="s">
        <v>21</v>
      </c>
      <c r="B98" s="4" t="s">
        <v>22</v>
      </c>
      <c r="C98" s="4" t="s">
        <v>14</v>
      </c>
      <c r="D98" s="4" t="s">
        <v>30</v>
      </c>
      <c r="E98" s="4" t="s">
        <v>25</v>
      </c>
    </row>
    <row r="99" spans="1:5" ht="14.25" customHeight="1" x14ac:dyDescent="0.3">
      <c r="A99" s="4" t="s">
        <v>27</v>
      </c>
      <c r="B99" s="4" t="s">
        <v>35</v>
      </c>
      <c r="C99" s="4" t="s">
        <v>14</v>
      </c>
      <c r="D99" s="4" t="s">
        <v>29</v>
      </c>
      <c r="E99" s="4" t="s">
        <v>16</v>
      </c>
    </row>
    <row r="100" spans="1:5" ht="14.25" customHeight="1" x14ac:dyDescent="0.3">
      <c r="A100" s="4" t="s">
        <v>17</v>
      </c>
      <c r="B100" s="4" t="s">
        <v>26</v>
      </c>
      <c r="C100" s="4" t="s">
        <v>32</v>
      </c>
      <c r="D100" s="4" t="s">
        <v>40</v>
      </c>
      <c r="E100" s="4" t="s">
        <v>16</v>
      </c>
    </row>
    <row r="101" spans="1:5" ht="14.25" customHeight="1" x14ac:dyDescent="0.3">
      <c r="A101" s="4" t="s">
        <v>53</v>
      </c>
      <c r="B101" s="4" t="s">
        <v>35</v>
      </c>
      <c r="C101" s="4" t="s">
        <v>19</v>
      </c>
      <c r="D101" s="4" t="s">
        <v>15</v>
      </c>
      <c r="E101" s="4" t="s">
        <v>16</v>
      </c>
    </row>
    <row r="102" spans="1:5" ht="14.25" customHeight="1" x14ac:dyDescent="0.3">
      <c r="A102" s="4" t="s">
        <v>27</v>
      </c>
      <c r="B102" s="4" t="s">
        <v>28</v>
      </c>
      <c r="C102" s="4" t="s">
        <v>14</v>
      </c>
      <c r="D102" s="4" t="s">
        <v>29</v>
      </c>
      <c r="E102" s="4" t="s">
        <v>16</v>
      </c>
    </row>
    <row r="103" spans="1:5" ht="14.25" customHeight="1" x14ac:dyDescent="0.3">
      <c r="A103" s="4" t="s">
        <v>54</v>
      </c>
      <c r="B103" s="4" t="s">
        <v>28</v>
      </c>
      <c r="C103" s="4" t="s">
        <v>14</v>
      </c>
      <c r="D103" s="4" t="s">
        <v>33</v>
      </c>
      <c r="E103" s="4" t="s">
        <v>25</v>
      </c>
    </row>
    <row r="104" spans="1:5" ht="14.25" customHeight="1" x14ac:dyDescent="0.3">
      <c r="A104" s="4" t="s">
        <v>41</v>
      </c>
      <c r="B104" s="4" t="s">
        <v>35</v>
      </c>
      <c r="C104" s="4" t="s">
        <v>14</v>
      </c>
      <c r="D104" s="4" t="s">
        <v>30</v>
      </c>
      <c r="E104" s="4" t="s">
        <v>25</v>
      </c>
    </row>
    <row r="105" spans="1:5" ht="14.25" customHeight="1" x14ac:dyDescent="0.3">
      <c r="A105" s="4" t="s">
        <v>27</v>
      </c>
      <c r="B105" s="4" t="s">
        <v>28</v>
      </c>
      <c r="C105" s="4" t="s">
        <v>14</v>
      </c>
      <c r="D105" s="4" t="s">
        <v>29</v>
      </c>
      <c r="E105" s="4" t="s">
        <v>16</v>
      </c>
    </row>
    <row r="106" spans="1:5" ht="14.25" customHeight="1" x14ac:dyDescent="0.3">
      <c r="A106" s="4" t="s">
        <v>44</v>
      </c>
      <c r="B106" s="4" t="s">
        <v>22</v>
      </c>
      <c r="C106" s="4" t="s">
        <v>14</v>
      </c>
      <c r="D106" s="4" t="s">
        <v>40</v>
      </c>
      <c r="E106" s="4" t="s">
        <v>16</v>
      </c>
    </row>
    <row r="107" spans="1:5" ht="14.25" customHeight="1" x14ac:dyDescent="0.3">
      <c r="A107" s="4" t="s">
        <v>17</v>
      </c>
      <c r="B107" s="4" t="s">
        <v>24</v>
      </c>
      <c r="C107" s="4" t="s">
        <v>32</v>
      </c>
      <c r="D107" s="4" t="s">
        <v>33</v>
      </c>
      <c r="E107" s="4" t="s">
        <v>16</v>
      </c>
    </row>
    <row r="108" spans="1:5" ht="14.25" customHeight="1" x14ac:dyDescent="0.3">
      <c r="A108" s="4" t="s">
        <v>52</v>
      </c>
      <c r="B108" s="4" t="s">
        <v>28</v>
      </c>
      <c r="C108" s="4" t="s">
        <v>14</v>
      </c>
      <c r="D108" s="4" t="s">
        <v>20</v>
      </c>
      <c r="E108" s="4" t="s">
        <v>25</v>
      </c>
    </row>
    <row r="109" spans="1:5" ht="14.25" customHeight="1" x14ac:dyDescent="0.3">
      <c r="A109" s="4" t="s">
        <v>46</v>
      </c>
      <c r="B109" s="4" t="s">
        <v>28</v>
      </c>
      <c r="C109" s="4" t="s">
        <v>14</v>
      </c>
      <c r="D109" s="4" t="s">
        <v>20</v>
      </c>
      <c r="E109" s="4" t="s">
        <v>25</v>
      </c>
    </row>
    <row r="110" spans="1:5" ht="14.25" customHeight="1" x14ac:dyDescent="0.3">
      <c r="A110" s="4" t="s">
        <v>46</v>
      </c>
      <c r="B110" s="4" t="s">
        <v>28</v>
      </c>
      <c r="C110" s="4" t="s">
        <v>14</v>
      </c>
      <c r="D110" s="4" t="s">
        <v>29</v>
      </c>
      <c r="E110" s="4" t="s">
        <v>16</v>
      </c>
    </row>
    <row r="111" spans="1:5" ht="14.25" customHeight="1" x14ac:dyDescent="0.3">
      <c r="A111" s="4" t="s">
        <v>21</v>
      </c>
      <c r="B111" s="4" t="s">
        <v>26</v>
      </c>
      <c r="C111" s="4" t="s">
        <v>14</v>
      </c>
      <c r="D111" s="4" t="s">
        <v>30</v>
      </c>
      <c r="E111" s="4" t="s">
        <v>25</v>
      </c>
    </row>
    <row r="112" spans="1:5" ht="14.25" customHeight="1" x14ac:dyDescent="0.3">
      <c r="A112" s="4" t="s">
        <v>55</v>
      </c>
      <c r="B112" s="4" t="s">
        <v>35</v>
      </c>
      <c r="C112" s="4" t="s">
        <v>14</v>
      </c>
      <c r="D112" s="4" t="s">
        <v>20</v>
      </c>
      <c r="E112" s="4" t="s">
        <v>16</v>
      </c>
    </row>
    <row r="113" spans="1:5" ht="14.25" customHeight="1" x14ac:dyDescent="0.3">
      <c r="A113" s="4" t="s">
        <v>21</v>
      </c>
      <c r="B113" s="4" t="s">
        <v>28</v>
      </c>
      <c r="C113" s="4" t="s">
        <v>14</v>
      </c>
      <c r="D113" s="4" t="s">
        <v>30</v>
      </c>
      <c r="E113" s="4" t="s">
        <v>16</v>
      </c>
    </row>
    <row r="114" spans="1:5" ht="14.25" customHeight="1" x14ac:dyDescent="0.3">
      <c r="A114" s="4" t="s">
        <v>27</v>
      </c>
      <c r="B114" s="4" t="s">
        <v>28</v>
      </c>
      <c r="C114" s="4" t="s">
        <v>14</v>
      </c>
      <c r="D114" s="4" t="s">
        <v>29</v>
      </c>
      <c r="E114" s="4" t="s">
        <v>16</v>
      </c>
    </row>
    <row r="115" spans="1:5" ht="14.25" customHeight="1" x14ac:dyDescent="0.3">
      <c r="A115" s="4" t="s">
        <v>27</v>
      </c>
      <c r="B115" s="4" t="s">
        <v>28</v>
      </c>
      <c r="C115" s="4" t="s">
        <v>14</v>
      </c>
      <c r="D115" s="4" t="s">
        <v>29</v>
      </c>
      <c r="E115" s="4" t="s">
        <v>16</v>
      </c>
    </row>
    <row r="116" spans="1:5" ht="14.25" customHeight="1" x14ac:dyDescent="0.3">
      <c r="A116" s="4" t="s">
        <v>21</v>
      </c>
      <c r="B116" s="4" t="s">
        <v>22</v>
      </c>
      <c r="C116" s="4" t="s">
        <v>32</v>
      </c>
      <c r="D116" s="4" t="s">
        <v>20</v>
      </c>
      <c r="E116" s="4" t="s">
        <v>25</v>
      </c>
    </row>
    <row r="117" spans="1:5" ht="14.25" customHeight="1" x14ac:dyDescent="0.3">
      <c r="A117" s="4" t="s">
        <v>44</v>
      </c>
      <c r="B117" s="4" t="s">
        <v>22</v>
      </c>
      <c r="C117" s="4" t="s">
        <v>19</v>
      </c>
      <c r="D117" s="4" t="s">
        <v>36</v>
      </c>
      <c r="E117" s="4" t="s">
        <v>25</v>
      </c>
    </row>
    <row r="118" spans="1:5" ht="14.25" customHeight="1" x14ac:dyDescent="0.3">
      <c r="A118" s="4" t="s">
        <v>21</v>
      </c>
      <c r="B118" s="4" t="s">
        <v>43</v>
      </c>
      <c r="C118" s="4" t="s">
        <v>14</v>
      </c>
      <c r="D118" s="4" t="s">
        <v>33</v>
      </c>
      <c r="E118" s="4" t="s">
        <v>16</v>
      </c>
    </row>
    <row r="119" spans="1:5" ht="14.25" customHeight="1" x14ac:dyDescent="0.3">
      <c r="A119" s="4" t="s">
        <v>21</v>
      </c>
      <c r="B119" s="4" t="s">
        <v>31</v>
      </c>
      <c r="C119" s="4" t="s">
        <v>14</v>
      </c>
      <c r="D119" s="4" t="s">
        <v>20</v>
      </c>
      <c r="E119" s="4" t="s">
        <v>25</v>
      </c>
    </row>
    <row r="120" spans="1:5" ht="14.25" customHeight="1" x14ac:dyDescent="0.3">
      <c r="A120" s="4" t="s">
        <v>23</v>
      </c>
      <c r="B120" s="4" t="s">
        <v>28</v>
      </c>
      <c r="C120" s="4" t="s">
        <v>14</v>
      </c>
      <c r="D120" s="4" t="s">
        <v>15</v>
      </c>
      <c r="E120" s="4" t="s">
        <v>25</v>
      </c>
    </row>
    <row r="121" spans="1:5" ht="14.25" customHeight="1" x14ac:dyDescent="0.3">
      <c r="A121" s="4" t="s">
        <v>23</v>
      </c>
      <c r="B121" s="4" t="s">
        <v>26</v>
      </c>
      <c r="C121" s="4" t="s">
        <v>14</v>
      </c>
      <c r="D121" s="4" t="s">
        <v>30</v>
      </c>
      <c r="E121" s="4" t="s">
        <v>16</v>
      </c>
    </row>
    <row r="122" spans="1:5" ht="14.25" customHeight="1" x14ac:dyDescent="0.3">
      <c r="A122" s="4" t="s">
        <v>21</v>
      </c>
      <c r="B122" s="4" t="s">
        <v>26</v>
      </c>
      <c r="C122" s="4" t="s">
        <v>14</v>
      </c>
      <c r="D122" s="4" t="s">
        <v>15</v>
      </c>
      <c r="E122" s="4" t="s">
        <v>16</v>
      </c>
    </row>
    <row r="123" spans="1:5" ht="14.25" customHeight="1" x14ac:dyDescent="0.3">
      <c r="A123" s="4" t="s">
        <v>27</v>
      </c>
      <c r="B123" s="4" t="s">
        <v>28</v>
      </c>
      <c r="C123" s="4" t="s">
        <v>14</v>
      </c>
      <c r="D123" s="4" t="s">
        <v>30</v>
      </c>
      <c r="E123" s="4" t="s">
        <v>16</v>
      </c>
    </row>
    <row r="124" spans="1:5" ht="14.25" customHeight="1" x14ac:dyDescent="0.3">
      <c r="A124" s="4" t="s">
        <v>50</v>
      </c>
      <c r="B124" s="4" t="s">
        <v>22</v>
      </c>
      <c r="C124" s="4" t="s">
        <v>14</v>
      </c>
      <c r="D124" s="4" t="s">
        <v>33</v>
      </c>
      <c r="E124" s="4" t="s">
        <v>25</v>
      </c>
    </row>
    <row r="125" spans="1:5" ht="14.25" customHeight="1" x14ac:dyDescent="0.3">
      <c r="A125" s="4" t="s">
        <v>46</v>
      </c>
      <c r="B125" s="4" t="s">
        <v>24</v>
      </c>
      <c r="C125" s="4" t="s">
        <v>14</v>
      </c>
      <c r="D125" s="4" t="s">
        <v>15</v>
      </c>
      <c r="E125" s="4" t="s">
        <v>16</v>
      </c>
    </row>
    <row r="126" spans="1:5" ht="14.25" customHeight="1" x14ac:dyDescent="0.3">
      <c r="A126" s="4" t="s">
        <v>23</v>
      </c>
      <c r="B126" s="4" t="s">
        <v>35</v>
      </c>
      <c r="C126" s="4" t="s">
        <v>14</v>
      </c>
      <c r="D126" s="4" t="s">
        <v>20</v>
      </c>
      <c r="E126" s="4" t="s">
        <v>25</v>
      </c>
    </row>
    <row r="127" spans="1:5" ht="14.25" customHeight="1" x14ac:dyDescent="0.3">
      <c r="A127" s="4" t="s">
        <v>23</v>
      </c>
      <c r="B127" s="4" t="s">
        <v>28</v>
      </c>
      <c r="C127" s="4" t="s">
        <v>14</v>
      </c>
      <c r="D127" s="4" t="s">
        <v>20</v>
      </c>
      <c r="E127" s="4" t="s">
        <v>25</v>
      </c>
    </row>
    <row r="128" spans="1:5" ht="14.25" customHeight="1" x14ac:dyDescent="0.3">
      <c r="A128" s="4" t="s">
        <v>37</v>
      </c>
      <c r="B128" s="4" t="s">
        <v>35</v>
      </c>
      <c r="C128" s="4" t="s">
        <v>14</v>
      </c>
      <c r="D128" s="4" t="s">
        <v>29</v>
      </c>
      <c r="E128" s="4" t="s">
        <v>16</v>
      </c>
    </row>
    <row r="129" spans="1:5" ht="14.25" customHeight="1" x14ac:dyDescent="0.3">
      <c r="A129" s="4" t="s">
        <v>21</v>
      </c>
      <c r="B129" s="4" t="s">
        <v>26</v>
      </c>
      <c r="C129" s="4" t="s">
        <v>14</v>
      </c>
      <c r="D129" s="4" t="s">
        <v>20</v>
      </c>
      <c r="E129" s="4" t="s">
        <v>25</v>
      </c>
    </row>
    <row r="130" spans="1:5" ht="14.25" customHeight="1" x14ac:dyDescent="0.3">
      <c r="A130" s="4" t="s">
        <v>17</v>
      </c>
      <c r="B130" s="4" t="s">
        <v>18</v>
      </c>
      <c r="C130" s="4" t="s">
        <v>19</v>
      </c>
      <c r="D130" s="4" t="s">
        <v>20</v>
      </c>
      <c r="E130" s="4" t="s">
        <v>25</v>
      </c>
    </row>
    <row r="131" spans="1:5" ht="14.25" customHeight="1" x14ac:dyDescent="0.3">
      <c r="A131" s="4" t="s">
        <v>17</v>
      </c>
      <c r="B131" s="4" t="s">
        <v>26</v>
      </c>
      <c r="C131" s="4" t="s">
        <v>32</v>
      </c>
      <c r="D131" s="4" t="s">
        <v>40</v>
      </c>
      <c r="E131" s="4" t="s">
        <v>16</v>
      </c>
    </row>
    <row r="132" spans="1:5" ht="14.25" customHeight="1" x14ac:dyDescent="0.3">
      <c r="A132" s="4" t="s">
        <v>21</v>
      </c>
      <c r="B132" s="4" t="s">
        <v>22</v>
      </c>
      <c r="C132" s="4" t="s">
        <v>14</v>
      </c>
      <c r="D132" s="4" t="s">
        <v>20</v>
      </c>
      <c r="E132" s="4" t="s">
        <v>25</v>
      </c>
    </row>
    <row r="133" spans="1:5" ht="14.25" customHeight="1" x14ac:dyDescent="0.3">
      <c r="A133" s="4" t="s">
        <v>23</v>
      </c>
      <c r="B133" s="4" t="s">
        <v>26</v>
      </c>
      <c r="C133" s="4" t="s">
        <v>14</v>
      </c>
      <c r="D133" s="4" t="s">
        <v>15</v>
      </c>
      <c r="E133" s="4" t="s">
        <v>16</v>
      </c>
    </row>
    <row r="134" spans="1:5" ht="14.25" customHeight="1" x14ac:dyDescent="0.3">
      <c r="A134" s="4" t="s">
        <v>23</v>
      </c>
      <c r="B134" s="4" t="s">
        <v>28</v>
      </c>
      <c r="C134" s="4" t="s">
        <v>14</v>
      </c>
      <c r="D134" s="4" t="s">
        <v>30</v>
      </c>
      <c r="E134" s="4" t="s">
        <v>16</v>
      </c>
    </row>
    <row r="135" spans="1:5" ht="14.25" customHeight="1" x14ac:dyDescent="0.3">
      <c r="A135" s="4" t="s">
        <v>23</v>
      </c>
      <c r="B135" s="4" t="s">
        <v>26</v>
      </c>
      <c r="C135" s="4" t="s">
        <v>14</v>
      </c>
      <c r="D135" s="4" t="s">
        <v>15</v>
      </c>
      <c r="E135" s="4" t="s">
        <v>25</v>
      </c>
    </row>
    <row r="136" spans="1:5" ht="14.25" customHeight="1" x14ac:dyDescent="0.3">
      <c r="A136" s="4" t="s">
        <v>41</v>
      </c>
      <c r="B136" s="4" t="s">
        <v>24</v>
      </c>
      <c r="C136" s="4" t="s">
        <v>14</v>
      </c>
      <c r="D136" s="4" t="s">
        <v>15</v>
      </c>
      <c r="E136" s="4" t="s">
        <v>25</v>
      </c>
    </row>
    <row r="137" spans="1:5" ht="14.25" customHeight="1" x14ac:dyDescent="0.3">
      <c r="A137" s="4" t="s">
        <v>34</v>
      </c>
      <c r="B137" s="4" t="s">
        <v>35</v>
      </c>
      <c r="C137" s="4" t="s">
        <v>14</v>
      </c>
      <c r="D137" s="4" t="s">
        <v>30</v>
      </c>
      <c r="E137" s="4" t="s">
        <v>16</v>
      </c>
    </row>
    <row r="138" spans="1:5" ht="14.25" customHeight="1" x14ac:dyDescent="0.3">
      <c r="A138" s="4" t="s">
        <v>56</v>
      </c>
      <c r="B138" s="4" t="s">
        <v>48</v>
      </c>
      <c r="C138" s="4" t="s">
        <v>32</v>
      </c>
      <c r="D138" s="4" t="s">
        <v>29</v>
      </c>
      <c r="E138" s="4" t="s">
        <v>16</v>
      </c>
    </row>
    <row r="139" spans="1:5" ht="14.25" customHeight="1" x14ac:dyDescent="0.3">
      <c r="A139" s="4" t="s">
        <v>17</v>
      </c>
      <c r="B139" s="4" t="s">
        <v>26</v>
      </c>
      <c r="C139" s="4" t="s">
        <v>32</v>
      </c>
      <c r="D139" s="4" t="s">
        <v>20</v>
      </c>
      <c r="E139" s="4" t="s">
        <v>25</v>
      </c>
    </row>
    <row r="140" spans="1:5" ht="14.25" customHeight="1" x14ac:dyDescent="0.3">
      <c r="A140" s="4" t="s">
        <v>54</v>
      </c>
      <c r="B140" s="4" t="s">
        <v>48</v>
      </c>
      <c r="C140" s="4" t="s">
        <v>14</v>
      </c>
      <c r="D140" s="4" t="s">
        <v>20</v>
      </c>
      <c r="E140" s="4" t="s">
        <v>25</v>
      </c>
    </row>
    <row r="141" spans="1:5" ht="14.25" customHeight="1" x14ac:dyDescent="0.3">
      <c r="A141" s="4" t="s">
        <v>27</v>
      </c>
      <c r="B141" s="4" t="s">
        <v>28</v>
      </c>
      <c r="C141" s="4" t="s">
        <v>32</v>
      </c>
      <c r="D141" s="4" t="s">
        <v>36</v>
      </c>
      <c r="E141" s="4" t="s">
        <v>16</v>
      </c>
    </row>
    <row r="142" spans="1:5" ht="14.25" customHeight="1" x14ac:dyDescent="0.3">
      <c r="A142" s="4" t="s">
        <v>17</v>
      </c>
      <c r="B142" s="4" t="s">
        <v>31</v>
      </c>
      <c r="C142" s="4" t="s">
        <v>14</v>
      </c>
      <c r="D142" s="4" t="s">
        <v>33</v>
      </c>
      <c r="E142" s="4" t="s">
        <v>25</v>
      </c>
    </row>
    <row r="143" spans="1:5" ht="14.25" customHeight="1" x14ac:dyDescent="0.3">
      <c r="A143" s="4" t="s">
        <v>27</v>
      </c>
      <c r="B143" s="4" t="s">
        <v>28</v>
      </c>
      <c r="C143" s="4" t="s">
        <v>32</v>
      </c>
      <c r="D143" s="4" t="s">
        <v>30</v>
      </c>
      <c r="E143" s="4" t="s">
        <v>25</v>
      </c>
    </row>
    <row r="144" spans="1:5" ht="14.25" customHeight="1" x14ac:dyDescent="0.3">
      <c r="A144" s="4" t="s">
        <v>44</v>
      </c>
      <c r="B144" s="4" t="s">
        <v>57</v>
      </c>
      <c r="C144" s="4" t="s">
        <v>49</v>
      </c>
      <c r="D144" s="4" t="s">
        <v>20</v>
      </c>
      <c r="E144" s="4" t="s">
        <v>16</v>
      </c>
    </row>
    <row r="145" spans="1:5" ht="14.25" customHeight="1" x14ac:dyDescent="0.3">
      <c r="A145" s="4" t="s">
        <v>27</v>
      </c>
      <c r="B145" s="4" t="s">
        <v>28</v>
      </c>
      <c r="C145" s="4" t="s">
        <v>14</v>
      </c>
      <c r="D145" s="4" t="s">
        <v>29</v>
      </c>
      <c r="E145" s="4" t="s">
        <v>16</v>
      </c>
    </row>
    <row r="146" spans="1:5" ht="14.25" customHeight="1" x14ac:dyDescent="0.3">
      <c r="A146" s="4" t="s">
        <v>27</v>
      </c>
      <c r="B146" s="4" t="s">
        <v>28</v>
      </c>
      <c r="C146" s="4" t="s">
        <v>14</v>
      </c>
      <c r="D146" s="4" t="s">
        <v>30</v>
      </c>
      <c r="E146" s="4" t="s">
        <v>16</v>
      </c>
    </row>
    <row r="147" spans="1:5" ht="14.25" customHeight="1" x14ac:dyDescent="0.3">
      <c r="A147" s="4" t="s">
        <v>23</v>
      </c>
      <c r="B147" s="4" t="s">
        <v>26</v>
      </c>
      <c r="C147" s="4" t="s">
        <v>32</v>
      </c>
      <c r="D147" s="4" t="s">
        <v>20</v>
      </c>
      <c r="E147" s="4" t="s">
        <v>16</v>
      </c>
    </row>
    <row r="148" spans="1:5" ht="14.25" customHeight="1" x14ac:dyDescent="0.3">
      <c r="A148" s="4" t="s">
        <v>27</v>
      </c>
      <c r="B148" s="4" t="s">
        <v>28</v>
      </c>
      <c r="C148" s="4" t="s">
        <v>32</v>
      </c>
      <c r="D148" s="4" t="s">
        <v>33</v>
      </c>
      <c r="E148" s="4" t="s">
        <v>16</v>
      </c>
    </row>
    <row r="149" spans="1:5" ht="14.25" customHeight="1" x14ac:dyDescent="0.3">
      <c r="A149" s="4" t="s">
        <v>47</v>
      </c>
      <c r="B149" s="4" t="s">
        <v>28</v>
      </c>
      <c r="C149" s="4" t="s">
        <v>14</v>
      </c>
      <c r="D149" s="4" t="s">
        <v>15</v>
      </c>
      <c r="E149" s="4" t="s">
        <v>16</v>
      </c>
    </row>
    <row r="150" spans="1:5" ht="14.25" customHeight="1" x14ac:dyDescent="0.3">
      <c r="A150" s="4" t="s">
        <v>27</v>
      </c>
      <c r="B150" s="4" t="s">
        <v>28</v>
      </c>
      <c r="C150" s="4" t="s">
        <v>32</v>
      </c>
      <c r="D150" s="4" t="s">
        <v>29</v>
      </c>
      <c r="E150" s="4" t="s">
        <v>16</v>
      </c>
    </row>
    <row r="151" spans="1:5" ht="14.25" customHeight="1" x14ac:dyDescent="0.3">
      <c r="A151" s="4" t="s">
        <v>44</v>
      </c>
      <c r="B151" s="4" t="s">
        <v>22</v>
      </c>
      <c r="C151" s="4" t="s">
        <v>14</v>
      </c>
      <c r="D151" s="4" t="s">
        <v>33</v>
      </c>
      <c r="E151" s="4" t="s">
        <v>16</v>
      </c>
    </row>
    <row r="152" spans="1:5" ht="14.25" customHeight="1" x14ac:dyDescent="0.3">
      <c r="A152" s="4" t="s">
        <v>21</v>
      </c>
      <c r="B152" s="4" t="s">
        <v>22</v>
      </c>
      <c r="C152" s="4" t="s">
        <v>32</v>
      </c>
      <c r="D152" s="4" t="s">
        <v>15</v>
      </c>
      <c r="E152" s="4" t="s">
        <v>25</v>
      </c>
    </row>
    <row r="153" spans="1:5" ht="14.25" customHeight="1" x14ac:dyDescent="0.3">
      <c r="A153" s="4" t="s">
        <v>44</v>
      </c>
      <c r="B153" s="4" t="s">
        <v>22</v>
      </c>
      <c r="C153" s="4" t="s">
        <v>14</v>
      </c>
      <c r="D153" s="4" t="s">
        <v>33</v>
      </c>
      <c r="E153" s="4" t="s">
        <v>16</v>
      </c>
    </row>
    <row r="154" spans="1:5" ht="14.25" customHeight="1" x14ac:dyDescent="0.3">
      <c r="A154" s="4" t="s">
        <v>21</v>
      </c>
      <c r="B154" s="4" t="s">
        <v>22</v>
      </c>
      <c r="C154" s="4" t="s">
        <v>14</v>
      </c>
      <c r="D154" s="4" t="s">
        <v>20</v>
      </c>
      <c r="E154" s="4" t="s">
        <v>25</v>
      </c>
    </row>
    <row r="155" spans="1:5" ht="14.25" customHeight="1" x14ac:dyDescent="0.3">
      <c r="A155" s="4" t="s">
        <v>21</v>
      </c>
      <c r="B155" s="4" t="s">
        <v>22</v>
      </c>
      <c r="C155" s="4" t="s">
        <v>14</v>
      </c>
      <c r="D155" s="4" t="s">
        <v>15</v>
      </c>
      <c r="E155" s="4" t="s">
        <v>25</v>
      </c>
    </row>
    <row r="156" spans="1:5" ht="14.25" customHeight="1" x14ac:dyDescent="0.3">
      <c r="A156" s="4" t="s">
        <v>46</v>
      </c>
      <c r="B156" s="4" t="s">
        <v>24</v>
      </c>
      <c r="C156" s="4" t="s">
        <v>14</v>
      </c>
      <c r="D156" s="4" t="s">
        <v>15</v>
      </c>
      <c r="E156" s="4" t="s">
        <v>25</v>
      </c>
    </row>
    <row r="157" spans="1:5" ht="14.25" customHeight="1" x14ac:dyDescent="0.3">
      <c r="A157" s="4" t="s">
        <v>34</v>
      </c>
      <c r="B157" s="4" t="s">
        <v>26</v>
      </c>
      <c r="C157" s="4" t="s">
        <v>14</v>
      </c>
      <c r="D157" s="4" t="s">
        <v>30</v>
      </c>
      <c r="E157" s="4" t="s">
        <v>25</v>
      </c>
    </row>
    <row r="158" spans="1:5" ht="14.25" customHeight="1" x14ac:dyDescent="0.3">
      <c r="A158" s="4" t="s">
        <v>27</v>
      </c>
      <c r="B158" s="4" t="s">
        <v>28</v>
      </c>
      <c r="C158" s="4" t="s">
        <v>14</v>
      </c>
      <c r="D158" s="4" t="s">
        <v>30</v>
      </c>
      <c r="E158" s="4" t="s">
        <v>16</v>
      </c>
    </row>
    <row r="159" spans="1:5" ht="14.25" customHeight="1" x14ac:dyDescent="0.3">
      <c r="A159" s="4" t="s">
        <v>54</v>
      </c>
      <c r="B159" s="4" t="s">
        <v>48</v>
      </c>
      <c r="C159" s="4" t="s">
        <v>14</v>
      </c>
      <c r="D159" s="4" t="s">
        <v>15</v>
      </c>
      <c r="E159" s="4" t="s">
        <v>25</v>
      </c>
    </row>
    <row r="160" spans="1:5" ht="14.25" customHeight="1" x14ac:dyDescent="0.3">
      <c r="A160" s="4" t="s">
        <v>58</v>
      </c>
      <c r="B160" s="4" t="s">
        <v>28</v>
      </c>
      <c r="C160" s="4" t="s">
        <v>14</v>
      </c>
      <c r="D160" s="4" t="s">
        <v>20</v>
      </c>
      <c r="E160" s="4" t="s">
        <v>25</v>
      </c>
    </row>
    <row r="161" spans="1:5" ht="14.25" customHeight="1" x14ac:dyDescent="0.3">
      <c r="A161" s="4" t="s">
        <v>27</v>
      </c>
      <c r="B161" s="4" t="s">
        <v>28</v>
      </c>
      <c r="C161" s="4" t="s">
        <v>14</v>
      </c>
      <c r="D161" s="4" t="s">
        <v>29</v>
      </c>
      <c r="E161" s="4" t="s">
        <v>16</v>
      </c>
    </row>
    <row r="162" spans="1:5" ht="14.25" customHeight="1" x14ac:dyDescent="0.3">
      <c r="A162" s="4" t="s">
        <v>42</v>
      </c>
      <c r="B162" s="4" t="s">
        <v>26</v>
      </c>
      <c r="C162" s="4" t="s">
        <v>19</v>
      </c>
      <c r="D162" s="4" t="s">
        <v>15</v>
      </c>
      <c r="E162" s="4" t="s">
        <v>16</v>
      </c>
    </row>
    <row r="163" spans="1:5" ht="14.25" customHeight="1" x14ac:dyDescent="0.3">
      <c r="A163" s="4" t="s">
        <v>21</v>
      </c>
      <c r="B163" s="4" t="s">
        <v>35</v>
      </c>
      <c r="C163" s="4" t="s">
        <v>14</v>
      </c>
      <c r="D163" s="4" t="s">
        <v>20</v>
      </c>
      <c r="E163" s="4" t="s">
        <v>25</v>
      </c>
    </row>
    <row r="164" spans="1:5" ht="14.25" customHeight="1" x14ac:dyDescent="0.3">
      <c r="A164" s="4" t="s">
        <v>21</v>
      </c>
      <c r="B164" s="4" t="s">
        <v>35</v>
      </c>
      <c r="C164" s="4" t="s">
        <v>14</v>
      </c>
      <c r="D164" s="4" t="s">
        <v>30</v>
      </c>
      <c r="E164" s="4" t="s">
        <v>16</v>
      </c>
    </row>
    <row r="165" spans="1:5" ht="14.25" customHeight="1" x14ac:dyDescent="0.3">
      <c r="A165" s="4" t="s">
        <v>27</v>
      </c>
      <c r="B165" s="4" t="s">
        <v>35</v>
      </c>
      <c r="C165" s="4" t="s">
        <v>14</v>
      </c>
      <c r="D165" s="4" t="s">
        <v>30</v>
      </c>
      <c r="E165" s="4" t="s">
        <v>16</v>
      </c>
    </row>
    <row r="166" spans="1:5" ht="14.25" customHeight="1" x14ac:dyDescent="0.3">
      <c r="A166" s="4" t="s">
        <v>52</v>
      </c>
      <c r="B166" s="4" t="s">
        <v>24</v>
      </c>
      <c r="C166" s="4" t="s">
        <v>14</v>
      </c>
      <c r="D166" s="4" t="s">
        <v>20</v>
      </c>
      <c r="E166" s="4" t="s">
        <v>25</v>
      </c>
    </row>
    <row r="167" spans="1:5" ht="14.25" customHeight="1" x14ac:dyDescent="0.3">
      <c r="A167" s="4" t="s">
        <v>12</v>
      </c>
      <c r="B167" s="4" t="s">
        <v>24</v>
      </c>
      <c r="C167" s="4" t="s">
        <v>14</v>
      </c>
      <c r="D167" s="4" t="s">
        <v>20</v>
      </c>
      <c r="E167" s="4" t="s">
        <v>16</v>
      </c>
    </row>
    <row r="168" spans="1:5" ht="14.25" customHeight="1" x14ac:dyDescent="0.3">
      <c r="A168" s="4" t="s">
        <v>17</v>
      </c>
      <c r="B168" s="4" t="s">
        <v>26</v>
      </c>
      <c r="C168" s="4" t="s">
        <v>32</v>
      </c>
      <c r="D168" s="4" t="s">
        <v>33</v>
      </c>
      <c r="E168" s="4" t="s">
        <v>25</v>
      </c>
    </row>
    <row r="169" spans="1:5" ht="14.25" customHeight="1" x14ac:dyDescent="0.3">
      <c r="A169" s="4" t="s">
        <v>23</v>
      </c>
      <c r="B169" s="4" t="s">
        <v>26</v>
      </c>
      <c r="C169" s="4" t="s">
        <v>14</v>
      </c>
      <c r="D169" s="4" t="s">
        <v>15</v>
      </c>
      <c r="E169" s="4" t="s">
        <v>25</v>
      </c>
    </row>
    <row r="170" spans="1:5" ht="14.25" customHeight="1" x14ac:dyDescent="0.3">
      <c r="A170" s="4" t="s">
        <v>27</v>
      </c>
      <c r="B170" s="4" t="s">
        <v>28</v>
      </c>
      <c r="C170" s="4" t="s">
        <v>14</v>
      </c>
      <c r="D170" s="4" t="s">
        <v>29</v>
      </c>
      <c r="E170" s="4" t="s">
        <v>16</v>
      </c>
    </row>
    <row r="171" spans="1:5" ht="14.25" customHeight="1" x14ac:dyDescent="0.3">
      <c r="A171" s="4" t="s">
        <v>21</v>
      </c>
      <c r="B171" s="4" t="s">
        <v>22</v>
      </c>
      <c r="C171" s="4" t="s">
        <v>32</v>
      </c>
      <c r="D171" s="4" t="s">
        <v>30</v>
      </c>
      <c r="E171" s="4" t="s">
        <v>25</v>
      </c>
    </row>
    <row r="172" spans="1:5" ht="14.25" customHeight="1" x14ac:dyDescent="0.3">
      <c r="A172" s="4" t="s">
        <v>21</v>
      </c>
      <c r="B172" s="4" t="s">
        <v>22</v>
      </c>
      <c r="C172" s="4" t="s">
        <v>14</v>
      </c>
      <c r="D172" s="4" t="s">
        <v>20</v>
      </c>
      <c r="E172" s="4" t="s">
        <v>25</v>
      </c>
    </row>
    <row r="173" spans="1:5" ht="14.25" customHeight="1" x14ac:dyDescent="0.3">
      <c r="A173" s="4" t="s">
        <v>34</v>
      </c>
      <c r="B173" s="4" t="s">
        <v>35</v>
      </c>
      <c r="C173" s="4" t="s">
        <v>14</v>
      </c>
      <c r="D173" s="4" t="s">
        <v>15</v>
      </c>
      <c r="E173" s="4" t="s">
        <v>25</v>
      </c>
    </row>
    <row r="174" spans="1:5" ht="14.25" customHeight="1" x14ac:dyDescent="0.3">
      <c r="A174" s="4" t="s">
        <v>21</v>
      </c>
      <c r="B174" s="4" t="s">
        <v>22</v>
      </c>
      <c r="C174" s="4" t="s">
        <v>14</v>
      </c>
      <c r="D174" s="4" t="s">
        <v>20</v>
      </c>
      <c r="E174" s="4" t="s">
        <v>25</v>
      </c>
    </row>
    <row r="175" spans="1:5" ht="14.25" customHeight="1" x14ac:dyDescent="0.3">
      <c r="A175" s="4" t="s">
        <v>21</v>
      </c>
      <c r="B175" s="4" t="s">
        <v>28</v>
      </c>
      <c r="C175" s="4" t="s">
        <v>14</v>
      </c>
      <c r="D175" s="4" t="s">
        <v>20</v>
      </c>
      <c r="E175" s="4" t="s">
        <v>25</v>
      </c>
    </row>
    <row r="176" spans="1:5" ht="14.25" customHeight="1" x14ac:dyDescent="0.3">
      <c r="A176" s="4" t="s">
        <v>17</v>
      </c>
      <c r="B176" s="4" t="s">
        <v>26</v>
      </c>
      <c r="C176" s="4" t="s">
        <v>32</v>
      </c>
      <c r="D176" s="4" t="s">
        <v>20</v>
      </c>
      <c r="E176" s="4" t="s">
        <v>25</v>
      </c>
    </row>
    <row r="177" spans="1:5" ht="14.25" customHeight="1" x14ac:dyDescent="0.3">
      <c r="A177" s="4" t="s">
        <v>27</v>
      </c>
      <c r="B177" s="4" t="s">
        <v>28</v>
      </c>
      <c r="C177" s="4" t="s">
        <v>14</v>
      </c>
      <c r="D177" s="4" t="s">
        <v>29</v>
      </c>
      <c r="E177" s="4" t="s">
        <v>16</v>
      </c>
    </row>
    <row r="178" spans="1:5" ht="14.25" customHeight="1" x14ac:dyDescent="0.3">
      <c r="A178" s="4" t="s">
        <v>17</v>
      </c>
      <c r="B178" s="4" t="s">
        <v>26</v>
      </c>
      <c r="C178" s="4" t="s">
        <v>32</v>
      </c>
      <c r="D178" s="4" t="s">
        <v>15</v>
      </c>
      <c r="E178" s="4" t="s">
        <v>16</v>
      </c>
    </row>
    <row r="179" spans="1:5" ht="14.25" customHeight="1" x14ac:dyDescent="0.3">
      <c r="A179" s="4" t="s">
        <v>23</v>
      </c>
      <c r="B179" s="4" t="s">
        <v>26</v>
      </c>
      <c r="C179" s="4" t="s">
        <v>14</v>
      </c>
      <c r="D179" s="4" t="s">
        <v>15</v>
      </c>
      <c r="E179" s="4" t="s">
        <v>25</v>
      </c>
    </row>
    <row r="180" spans="1:5" ht="14.25" customHeight="1" x14ac:dyDescent="0.3">
      <c r="A180" s="4" t="s">
        <v>41</v>
      </c>
      <c r="B180" s="4" t="s">
        <v>28</v>
      </c>
      <c r="C180" s="4" t="s">
        <v>32</v>
      </c>
      <c r="D180" s="4" t="s">
        <v>15</v>
      </c>
      <c r="E180" s="4" t="s">
        <v>16</v>
      </c>
    </row>
    <row r="181" spans="1:5" ht="14.25" customHeight="1" x14ac:dyDescent="0.3">
      <c r="A181" s="4" t="s">
        <v>38</v>
      </c>
      <c r="B181" s="4" t="s">
        <v>35</v>
      </c>
      <c r="C181" s="4" t="s">
        <v>14</v>
      </c>
      <c r="D181" s="4" t="s">
        <v>30</v>
      </c>
      <c r="E181" s="4" t="s">
        <v>16</v>
      </c>
    </row>
    <row r="182" spans="1:5" ht="14.25" customHeight="1" x14ac:dyDescent="0.3">
      <c r="A182" s="4" t="s">
        <v>21</v>
      </c>
      <c r="B182" s="4" t="s">
        <v>22</v>
      </c>
      <c r="C182" s="4" t="s">
        <v>14</v>
      </c>
      <c r="D182" s="4" t="s">
        <v>30</v>
      </c>
      <c r="E182" s="4" t="s">
        <v>25</v>
      </c>
    </row>
    <row r="183" spans="1:5" ht="14.25" customHeight="1" x14ac:dyDescent="0.3">
      <c r="A183" s="4" t="s">
        <v>41</v>
      </c>
      <c r="B183" s="4" t="s">
        <v>24</v>
      </c>
      <c r="C183" s="4" t="s">
        <v>14</v>
      </c>
      <c r="D183" s="4" t="s">
        <v>15</v>
      </c>
      <c r="E183" s="4" t="s">
        <v>25</v>
      </c>
    </row>
    <row r="184" spans="1:5" ht="14.25" customHeight="1" x14ac:dyDescent="0.3">
      <c r="A184" s="4" t="s">
        <v>46</v>
      </c>
      <c r="B184" s="4" t="s">
        <v>28</v>
      </c>
      <c r="C184" s="4" t="s">
        <v>14</v>
      </c>
      <c r="D184" s="4" t="s">
        <v>29</v>
      </c>
      <c r="E184" s="4" t="s">
        <v>25</v>
      </c>
    </row>
    <row r="185" spans="1:5" ht="14.25" customHeight="1" x14ac:dyDescent="0.3">
      <c r="A185" s="4" t="s">
        <v>44</v>
      </c>
      <c r="B185" s="4" t="s">
        <v>22</v>
      </c>
      <c r="C185" s="4" t="s">
        <v>14</v>
      </c>
      <c r="D185" s="4" t="s">
        <v>40</v>
      </c>
      <c r="E185" s="4" t="s">
        <v>25</v>
      </c>
    </row>
    <row r="186" spans="1:5" ht="14.25" customHeight="1" x14ac:dyDescent="0.3">
      <c r="A186" s="4" t="s">
        <v>21</v>
      </c>
      <c r="B186" s="4" t="s">
        <v>28</v>
      </c>
      <c r="C186" s="4" t="s">
        <v>14</v>
      </c>
      <c r="D186" s="4" t="s">
        <v>33</v>
      </c>
      <c r="E186" s="4" t="s">
        <v>16</v>
      </c>
    </row>
    <row r="187" spans="1:5" ht="14.25" customHeight="1" x14ac:dyDescent="0.3">
      <c r="A187" s="4" t="s">
        <v>27</v>
      </c>
      <c r="B187" s="4" t="s">
        <v>28</v>
      </c>
      <c r="C187" s="4" t="s">
        <v>14</v>
      </c>
      <c r="D187" s="4" t="s">
        <v>29</v>
      </c>
      <c r="E187" s="4" t="s">
        <v>16</v>
      </c>
    </row>
    <row r="188" spans="1:5" ht="14.25" customHeight="1" x14ac:dyDescent="0.3">
      <c r="A188" s="4" t="s">
        <v>55</v>
      </c>
      <c r="B188" s="4" t="s">
        <v>13</v>
      </c>
      <c r="C188" s="4" t="s">
        <v>14</v>
      </c>
      <c r="D188" s="4" t="s">
        <v>30</v>
      </c>
      <c r="E188" s="4" t="s">
        <v>16</v>
      </c>
    </row>
    <row r="189" spans="1:5" ht="14.25" customHeight="1" x14ac:dyDescent="0.3">
      <c r="A189" s="4" t="s">
        <v>27</v>
      </c>
      <c r="B189" s="4" t="s">
        <v>28</v>
      </c>
      <c r="C189" s="4" t="s">
        <v>14</v>
      </c>
      <c r="D189" s="4" t="s">
        <v>29</v>
      </c>
      <c r="E189" s="4" t="s">
        <v>16</v>
      </c>
    </row>
    <row r="190" spans="1:5" ht="14.25" customHeight="1" x14ac:dyDescent="0.3">
      <c r="A190" s="4" t="s">
        <v>21</v>
      </c>
      <c r="B190" s="4" t="s">
        <v>22</v>
      </c>
      <c r="C190" s="4" t="s">
        <v>14</v>
      </c>
      <c r="D190" s="4" t="s">
        <v>15</v>
      </c>
      <c r="E190" s="4" t="s">
        <v>25</v>
      </c>
    </row>
    <row r="191" spans="1:5" ht="14.25" customHeight="1" x14ac:dyDescent="0.3">
      <c r="A191" s="4" t="s">
        <v>21</v>
      </c>
      <c r="B191" s="4" t="s">
        <v>22</v>
      </c>
      <c r="C191" s="4" t="s">
        <v>14</v>
      </c>
      <c r="D191" s="4" t="s">
        <v>33</v>
      </c>
      <c r="E191" s="4" t="s">
        <v>25</v>
      </c>
    </row>
    <row r="192" spans="1:5" ht="14.25" customHeight="1" x14ac:dyDescent="0.3">
      <c r="A192" s="4" t="s">
        <v>27</v>
      </c>
      <c r="B192" s="4" t="s">
        <v>28</v>
      </c>
      <c r="C192" s="4" t="s">
        <v>14</v>
      </c>
      <c r="D192" s="4" t="s">
        <v>30</v>
      </c>
      <c r="E192" s="4" t="s">
        <v>16</v>
      </c>
    </row>
    <row r="193" spans="1:5" ht="14.25" customHeight="1" x14ac:dyDescent="0.3">
      <c r="A193" s="4" t="s">
        <v>47</v>
      </c>
      <c r="B193" s="4" t="s">
        <v>13</v>
      </c>
      <c r="C193" s="4" t="s">
        <v>32</v>
      </c>
      <c r="D193" s="4" t="s">
        <v>20</v>
      </c>
      <c r="E193" s="4" t="s">
        <v>16</v>
      </c>
    </row>
    <row r="194" spans="1:5" ht="14.25" customHeight="1" x14ac:dyDescent="0.3">
      <c r="A194" s="4" t="s">
        <v>23</v>
      </c>
      <c r="B194" s="4" t="s">
        <v>26</v>
      </c>
      <c r="C194" s="4" t="s">
        <v>14</v>
      </c>
      <c r="D194" s="4" t="s">
        <v>20</v>
      </c>
      <c r="E194" s="4" t="s">
        <v>25</v>
      </c>
    </row>
    <row r="195" spans="1:5" ht="14.25" customHeight="1" x14ac:dyDescent="0.3">
      <c r="A195" s="4" t="s">
        <v>38</v>
      </c>
      <c r="B195" s="4" t="s">
        <v>26</v>
      </c>
      <c r="C195" s="4" t="s">
        <v>32</v>
      </c>
      <c r="D195" s="4" t="s">
        <v>15</v>
      </c>
      <c r="E195" s="4" t="s">
        <v>16</v>
      </c>
    </row>
    <row r="196" spans="1:5" ht="14.25" customHeight="1" x14ac:dyDescent="0.3">
      <c r="A196" s="4" t="s">
        <v>21</v>
      </c>
      <c r="B196" s="4" t="s">
        <v>22</v>
      </c>
      <c r="C196" s="4" t="s">
        <v>32</v>
      </c>
      <c r="D196" s="4" t="s">
        <v>20</v>
      </c>
      <c r="E196" s="4" t="s">
        <v>16</v>
      </c>
    </row>
    <row r="197" spans="1:5" ht="14.25" customHeight="1" x14ac:dyDescent="0.3">
      <c r="A197" s="4" t="s">
        <v>21</v>
      </c>
      <c r="B197" s="4" t="s">
        <v>39</v>
      </c>
      <c r="C197" s="4" t="s">
        <v>32</v>
      </c>
      <c r="D197" s="4" t="s">
        <v>15</v>
      </c>
      <c r="E197" s="4" t="s">
        <v>16</v>
      </c>
    </row>
    <row r="198" spans="1:5" ht="14.25" customHeight="1" x14ac:dyDescent="0.3">
      <c r="A198" s="4" t="s">
        <v>27</v>
      </c>
      <c r="B198" s="4" t="s">
        <v>35</v>
      </c>
      <c r="C198" s="4" t="s">
        <v>14</v>
      </c>
      <c r="D198" s="4" t="s">
        <v>29</v>
      </c>
      <c r="E198" s="4" t="s">
        <v>16</v>
      </c>
    </row>
    <row r="199" spans="1:5" ht="14.25" customHeight="1" x14ac:dyDescent="0.3">
      <c r="A199" s="4" t="s">
        <v>44</v>
      </c>
      <c r="B199" s="4" t="s">
        <v>22</v>
      </c>
      <c r="C199" s="4" t="s">
        <v>14</v>
      </c>
      <c r="D199" s="4" t="s">
        <v>36</v>
      </c>
      <c r="E199" s="4" t="s">
        <v>25</v>
      </c>
    </row>
    <row r="200" spans="1:5" ht="14.25" customHeight="1" x14ac:dyDescent="0.3">
      <c r="A200" s="4" t="s">
        <v>44</v>
      </c>
      <c r="B200" s="4" t="s">
        <v>22</v>
      </c>
      <c r="C200" s="4" t="s">
        <v>14</v>
      </c>
      <c r="D200" s="4" t="s">
        <v>36</v>
      </c>
      <c r="E200" s="4" t="s">
        <v>25</v>
      </c>
    </row>
    <row r="201" spans="1:5" ht="14.25" customHeight="1" x14ac:dyDescent="0.3">
      <c r="A201" s="4" t="s">
        <v>44</v>
      </c>
      <c r="B201" s="4" t="s">
        <v>22</v>
      </c>
      <c r="C201" s="4" t="s">
        <v>14</v>
      </c>
      <c r="D201" s="4" t="s">
        <v>20</v>
      </c>
      <c r="E201" s="4" t="s">
        <v>16</v>
      </c>
    </row>
    <row r="202" spans="1:5" ht="14.25" customHeight="1" x14ac:dyDescent="0.3">
      <c r="A202" s="4" t="s">
        <v>21</v>
      </c>
      <c r="B202" s="4" t="s">
        <v>22</v>
      </c>
      <c r="C202" s="4" t="s">
        <v>14</v>
      </c>
      <c r="D202" s="4" t="s">
        <v>33</v>
      </c>
      <c r="E202" s="4" t="s">
        <v>16</v>
      </c>
    </row>
    <row r="203" spans="1:5" ht="14.25" customHeight="1" x14ac:dyDescent="0.3">
      <c r="A203" s="4" t="s">
        <v>44</v>
      </c>
      <c r="B203" s="4" t="s">
        <v>22</v>
      </c>
      <c r="C203" s="4" t="s">
        <v>14</v>
      </c>
      <c r="D203" s="4" t="s">
        <v>40</v>
      </c>
      <c r="E203" s="4" t="s">
        <v>25</v>
      </c>
    </row>
    <row r="204" spans="1:5" ht="14.25" customHeight="1" x14ac:dyDescent="0.3">
      <c r="A204" s="4" t="s">
        <v>46</v>
      </c>
      <c r="B204" s="4" t="s">
        <v>28</v>
      </c>
      <c r="C204" s="4" t="s">
        <v>14</v>
      </c>
      <c r="D204" s="4" t="s">
        <v>29</v>
      </c>
      <c r="E204" s="4" t="s">
        <v>25</v>
      </c>
    </row>
    <row r="205" spans="1:5" ht="14.25" customHeight="1" x14ac:dyDescent="0.3">
      <c r="A205" s="4" t="s">
        <v>21</v>
      </c>
      <c r="B205" s="4" t="s">
        <v>28</v>
      </c>
      <c r="C205" s="4" t="s">
        <v>14</v>
      </c>
      <c r="D205" s="4" t="s">
        <v>30</v>
      </c>
      <c r="E205" s="4" t="s">
        <v>25</v>
      </c>
    </row>
    <row r="206" spans="1:5" ht="14.25" customHeight="1" x14ac:dyDescent="0.3">
      <c r="A206" s="4" t="s">
        <v>53</v>
      </c>
      <c r="B206" s="4" t="s">
        <v>22</v>
      </c>
      <c r="C206" s="4" t="s">
        <v>14</v>
      </c>
      <c r="D206" s="4" t="s">
        <v>15</v>
      </c>
      <c r="E206" s="4" t="s">
        <v>16</v>
      </c>
    </row>
    <row r="207" spans="1:5" ht="14.25" customHeight="1" x14ac:dyDescent="0.3">
      <c r="A207" s="4" t="s">
        <v>21</v>
      </c>
      <c r="B207" s="4" t="s">
        <v>26</v>
      </c>
      <c r="C207" s="4" t="s">
        <v>14</v>
      </c>
      <c r="D207" s="4" t="s">
        <v>15</v>
      </c>
      <c r="E207" s="4" t="s">
        <v>25</v>
      </c>
    </row>
    <row r="208" spans="1:5" ht="14.25" customHeight="1" x14ac:dyDescent="0.3">
      <c r="A208" s="4" t="s">
        <v>12</v>
      </c>
      <c r="B208" s="4" t="s">
        <v>35</v>
      </c>
      <c r="C208" s="4" t="s">
        <v>14</v>
      </c>
      <c r="D208" s="4" t="s">
        <v>40</v>
      </c>
      <c r="E208" s="4" t="s">
        <v>25</v>
      </c>
    </row>
    <row r="209" spans="1:5" ht="14.25" customHeight="1" x14ac:dyDescent="0.3">
      <c r="A209" s="4" t="s">
        <v>27</v>
      </c>
      <c r="B209" s="4" t="s">
        <v>28</v>
      </c>
      <c r="C209" s="4" t="s">
        <v>14</v>
      </c>
      <c r="D209" s="4" t="s">
        <v>29</v>
      </c>
      <c r="E209" s="4" t="s">
        <v>16</v>
      </c>
    </row>
    <row r="210" spans="1:5" ht="14.25" customHeight="1" x14ac:dyDescent="0.3">
      <c r="A210" s="4" t="s">
        <v>44</v>
      </c>
      <c r="B210" s="4" t="s">
        <v>22</v>
      </c>
      <c r="C210" s="4" t="s">
        <v>32</v>
      </c>
      <c r="D210" s="4" t="s">
        <v>36</v>
      </c>
      <c r="E210" s="4" t="s">
        <v>25</v>
      </c>
    </row>
    <row r="211" spans="1:5" ht="14.25" customHeight="1" x14ac:dyDescent="0.3">
      <c r="A211" s="4" t="s">
        <v>23</v>
      </c>
      <c r="B211" s="4" t="s">
        <v>28</v>
      </c>
      <c r="C211" s="4" t="s">
        <v>14</v>
      </c>
      <c r="D211" s="4" t="s">
        <v>30</v>
      </c>
      <c r="E211" s="4" t="s">
        <v>25</v>
      </c>
    </row>
    <row r="212" spans="1:5" ht="14.25" customHeight="1" x14ac:dyDescent="0.3">
      <c r="A212" s="4" t="s">
        <v>21</v>
      </c>
      <c r="B212" s="4" t="s">
        <v>22</v>
      </c>
      <c r="C212" s="4" t="s">
        <v>19</v>
      </c>
      <c r="D212" s="4" t="s">
        <v>20</v>
      </c>
      <c r="E212" s="4" t="s">
        <v>16</v>
      </c>
    </row>
    <row r="213" spans="1:5" ht="14.25" customHeight="1" x14ac:dyDescent="0.3">
      <c r="A213" s="4" t="s">
        <v>44</v>
      </c>
      <c r="B213" s="4" t="s">
        <v>22</v>
      </c>
      <c r="C213" s="4" t="s">
        <v>14</v>
      </c>
      <c r="D213" s="4" t="s">
        <v>36</v>
      </c>
      <c r="E213" s="4" t="s">
        <v>25</v>
      </c>
    </row>
    <row r="214" spans="1:5" ht="14.25" customHeight="1" x14ac:dyDescent="0.3">
      <c r="A214" s="4" t="s">
        <v>23</v>
      </c>
      <c r="B214" s="4" t="s">
        <v>26</v>
      </c>
      <c r="C214" s="4" t="s">
        <v>14</v>
      </c>
      <c r="D214" s="4" t="s">
        <v>29</v>
      </c>
      <c r="E214" s="4" t="s">
        <v>25</v>
      </c>
    </row>
    <row r="215" spans="1:5" ht="14.25" customHeight="1" x14ac:dyDescent="0.3">
      <c r="A215" s="4" t="s">
        <v>46</v>
      </c>
      <c r="B215" s="4" t="s">
        <v>24</v>
      </c>
      <c r="C215" s="4" t="s">
        <v>14</v>
      </c>
      <c r="D215" s="4" t="s">
        <v>20</v>
      </c>
      <c r="E215" s="4" t="s">
        <v>25</v>
      </c>
    </row>
    <row r="216" spans="1:5" ht="14.25" customHeight="1" x14ac:dyDescent="0.3">
      <c r="A216" s="4" t="s">
        <v>37</v>
      </c>
      <c r="B216" s="4" t="s">
        <v>35</v>
      </c>
      <c r="C216" s="4" t="s">
        <v>14</v>
      </c>
      <c r="D216" s="4" t="s">
        <v>29</v>
      </c>
      <c r="E216" s="4" t="s">
        <v>16</v>
      </c>
    </row>
    <row r="217" spans="1:5" ht="14.25" customHeight="1" x14ac:dyDescent="0.3">
      <c r="A217" s="4" t="s">
        <v>23</v>
      </c>
      <c r="B217" s="4" t="s">
        <v>26</v>
      </c>
      <c r="C217" s="4" t="s">
        <v>14</v>
      </c>
      <c r="D217" s="4" t="s">
        <v>30</v>
      </c>
      <c r="E217" s="4" t="s">
        <v>25</v>
      </c>
    </row>
    <row r="218" spans="1:5" ht="14.25" customHeight="1" x14ac:dyDescent="0.3">
      <c r="A218" s="4" t="s">
        <v>52</v>
      </c>
      <c r="B218" s="4" t="s">
        <v>28</v>
      </c>
      <c r="C218" s="4" t="s">
        <v>14</v>
      </c>
      <c r="D218" s="4" t="s">
        <v>33</v>
      </c>
      <c r="E218" s="4" t="s">
        <v>25</v>
      </c>
    </row>
    <row r="219" spans="1:5" ht="14.25" customHeight="1" x14ac:dyDescent="0.3">
      <c r="A219" s="4" t="s">
        <v>23</v>
      </c>
      <c r="B219" s="4" t="s">
        <v>26</v>
      </c>
      <c r="C219" s="4" t="s">
        <v>14</v>
      </c>
      <c r="D219" s="4" t="s">
        <v>15</v>
      </c>
      <c r="E219" s="4" t="s">
        <v>25</v>
      </c>
    </row>
    <row r="220" spans="1:5" ht="14.25" customHeight="1" x14ac:dyDescent="0.3">
      <c r="A220" s="4" t="s">
        <v>21</v>
      </c>
      <c r="B220" s="4" t="s">
        <v>31</v>
      </c>
      <c r="C220" s="4" t="s">
        <v>14</v>
      </c>
      <c r="D220" s="4" t="s">
        <v>20</v>
      </c>
      <c r="E220" s="4" t="s">
        <v>25</v>
      </c>
    </row>
    <row r="221" spans="1:5" ht="14.25" customHeight="1" x14ac:dyDescent="0.3">
      <c r="A221" s="4" t="s">
        <v>23</v>
      </c>
      <c r="B221" s="4" t="s">
        <v>26</v>
      </c>
      <c r="C221" s="4" t="s">
        <v>14</v>
      </c>
      <c r="D221" s="4" t="s">
        <v>30</v>
      </c>
      <c r="E221" s="4" t="s">
        <v>25</v>
      </c>
    </row>
    <row r="222" spans="1:5" ht="14.25" customHeight="1" x14ac:dyDescent="0.3">
      <c r="A222" s="4" t="s">
        <v>12</v>
      </c>
      <c r="B222" s="4" t="s">
        <v>35</v>
      </c>
      <c r="C222" s="4" t="s">
        <v>14</v>
      </c>
      <c r="D222" s="4" t="s">
        <v>20</v>
      </c>
      <c r="E222" s="4" t="s">
        <v>16</v>
      </c>
    </row>
    <row r="223" spans="1:5" ht="14.25" customHeight="1" x14ac:dyDescent="0.3">
      <c r="A223" s="4" t="s">
        <v>34</v>
      </c>
      <c r="B223" s="4" t="s">
        <v>35</v>
      </c>
      <c r="C223" s="4" t="s">
        <v>14</v>
      </c>
      <c r="D223" s="4" t="s">
        <v>29</v>
      </c>
      <c r="E223" s="4" t="s">
        <v>25</v>
      </c>
    </row>
    <row r="224" spans="1:5" ht="14.25" customHeight="1" x14ac:dyDescent="0.3">
      <c r="A224" s="4" t="s">
        <v>23</v>
      </c>
      <c r="B224" s="4" t="s">
        <v>26</v>
      </c>
      <c r="C224" s="4" t="s">
        <v>14</v>
      </c>
      <c r="D224" s="4" t="s">
        <v>20</v>
      </c>
      <c r="E224" s="4" t="s">
        <v>25</v>
      </c>
    </row>
    <row r="225" spans="1:5" ht="14.25" customHeight="1" x14ac:dyDescent="0.3">
      <c r="A225" s="4" t="s">
        <v>21</v>
      </c>
      <c r="B225" s="4" t="s">
        <v>22</v>
      </c>
      <c r="C225" s="4" t="s">
        <v>14</v>
      </c>
      <c r="D225" s="4" t="s">
        <v>15</v>
      </c>
      <c r="E225" s="4" t="s">
        <v>25</v>
      </c>
    </row>
    <row r="226" spans="1:5" ht="14.25" customHeight="1" x14ac:dyDescent="0.3">
      <c r="A226" s="4" t="s">
        <v>46</v>
      </c>
      <c r="B226" s="4" t="s">
        <v>26</v>
      </c>
      <c r="C226" s="4" t="s">
        <v>19</v>
      </c>
      <c r="D226" s="4" t="s">
        <v>30</v>
      </c>
      <c r="E226" s="4" t="s">
        <v>16</v>
      </c>
    </row>
    <row r="227" spans="1:5" ht="14.25" customHeight="1" x14ac:dyDescent="0.3">
      <c r="A227" s="4" t="s">
        <v>23</v>
      </c>
      <c r="B227" s="4" t="s">
        <v>26</v>
      </c>
      <c r="C227" s="4" t="s">
        <v>14</v>
      </c>
      <c r="D227" s="4" t="s">
        <v>15</v>
      </c>
      <c r="E227" s="4" t="s">
        <v>16</v>
      </c>
    </row>
    <row r="228" spans="1:5" ht="14.25" customHeight="1" x14ac:dyDescent="0.3">
      <c r="A228" s="4" t="s">
        <v>27</v>
      </c>
      <c r="B228" s="4" t="s">
        <v>28</v>
      </c>
      <c r="C228" s="4" t="s">
        <v>14</v>
      </c>
      <c r="D228" s="4" t="s">
        <v>29</v>
      </c>
      <c r="E228" s="4" t="s">
        <v>16</v>
      </c>
    </row>
    <row r="229" spans="1:5" ht="14.25" customHeight="1" x14ac:dyDescent="0.3">
      <c r="A229" s="4" t="s">
        <v>21</v>
      </c>
      <c r="B229" s="4" t="s">
        <v>22</v>
      </c>
      <c r="C229" s="4" t="s">
        <v>14</v>
      </c>
      <c r="D229" s="4" t="s">
        <v>30</v>
      </c>
      <c r="E229" s="4" t="s">
        <v>25</v>
      </c>
    </row>
    <row r="230" spans="1:5" ht="14.25" customHeight="1" x14ac:dyDescent="0.3">
      <c r="A230" s="4" t="s">
        <v>12</v>
      </c>
      <c r="B230" s="4" t="s">
        <v>13</v>
      </c>
      <c r="C230" s="4" t="s">
        <v>14</v>
      </c>
      <c r="D230" s="4" t="s">
        <v>15</v>
      </c>
      <c r="E230" s="4" t="s">
        <v>25</v>
      </c>
    </row>
    <row r="231" spans="1:5" ht="14.25" customHeight="1" x14ac:dyDescent="0.3">
      <c r="A231" s="4" t="s">
        <v>23</v>
      </c>
      <c r="B231" s="4" t="s">
        <v>26</v>
      </c>
      <c r="C231" s="4" t="s">
        <v>14</v>
      </c>
      <c r="D231" s="4" t="s">
        <v>30</v>
      </c>
      <c r="E231" s="4" t="s">
        <v>16</v>
      </c>
    </row>
    <row r="232" spans="1:5" ht="14.25" customHeight="1" x14ac:dyDescent="0.3">
      <c r="A232" s="4" t="s">
        <v>23</v>
      </c>
      <c r="B232" s="4" t="s">
        <v>26</v>
      </c>
      <c r="C232" s="4" t="s">
        <v>14</v>
      </c>
      <c r="D232" s="4" t="s">
        <v>15</v>
      </c>
      <c r="E232" s="4" t="s">
        <v>16</v>
      </c>
    </row>
    <row r="233" spans="1:5" ht="14.25" customHeight="1" x14ac:dyDescent="0.3">
      <c r="A233" s="4" t="s">
        <v>17</v>
      </c>
      <c r="B233" s="4" t="s">
        <v>31</v>
      </c>
      <c r="C233" s="4" t="s">
        <v>32</v>
      </c>
      <c r="D233" s="4" t="s">
        <v>33</v>
      </c>
      <c r="E233" s="4" t="s">
        <v>16</v>
      </c>
    </row>
    <row r="234" spans="1:5" ht="14.25" customHeight="1" x14ac:dyDescent="0.3">
      <c r="A234" s="4" t="s">
        <v>12</v>
      </c>
      <c r="B234" s="4" t="s">
        <v>35</v>
      </c>
      <c r="C234" s="4" t="s">
        <v>14</v>
      </c>
      <c r="D234" s="4" t="s">
        <v>40</v>
      </c>
      <c r="E234" s="4" t="s">
        <v>16</v>
      </c>
    </row>
    <row r="235" spans="1:5" ht="14.25" customHeight="1" x14ac:dyDescent="0.3">
      <c r="A235" s="4" t="s">
        <v>34</v>
      </c>
      <c r="B235" s="4" t="s">
        <v>35</v>
      </c>
      <c r="C235" s="4" t="s">
        <v>14</v>
      </c>
      <c r="D235" s="4" t="s">
        <v>29</v>
      </c>
      <c r="E235" s="4" t="s">
        <v>16</v>
      </c>
    </row>
    <row r="236" spans="1:5" ht="14.25" customHeight="1" x14ac:dyDescent="0.3">
      <c r="A236" s="4" t="s">
        <v>17</v>
      </c>
      <c r="B236" s="4" t="s">
        <v>18</v>
      </c>
      <c r="C236" s="4" t="s">
        <v>19</v>
      </c>
      <c r="D236" s="4" t="s">
        <v>20</v>
      </c>
      <c r="E236" s="4" t="s">
        <v>16</v>
      </c>
    </row>
    <row r="237" spans="1:5" ht="14.25" customHeight="1" x14ac:dyDescent="0.3">
      <c r="A237" s="4" t="s">
        <v>21</v>
      </c>
      <c r="B237" s="4" t="s">
        <v>31</v>
      </c>
      <c r="C237" s="4" t="s">
        <v>32</v>
      </c>
      <c r="D237" s="4" t="s">
        <v>15</v>
      </c>
      <c r="E237" s="4" t="s">
        <v>25</v>
      </c>
    </row>
    <row r="238" spans="1:5" ht="14.25" customHeight="1" x14ac:dyDescent="0.3">
      <c r="A238" s="4" t="s">
        <v>38</v>
      </c>
      <c r="B238" s="4" t="s">
        <v>26</v>
      </c>
      <c r="C238" s="4" t="s">
        <v>32</v>
      </c>
      <c r="D238" s="4" t="s">
        <v>30</v>
      </c>
      <c r="E238" s="4" t="s">
        <v>16</v>
      </c>
    </row>
    <row r="239" spans="1:5" ht="14.25" customHeight="1" x14ac:dyDescent="0.3">
      <c r="A239" s="4" t="s">
        <v>23</v>
      </c>
      <c r="B239" s="4" t="s">
        <v>24</v>
      </c>
      <c r="C239" s="4" t="s">
        <v>14</v>
      </c>
      <c r="D239" s="4" t="s">
        <v>15</v>
      </c>
      <c r="E239" s="4" t="s">
        <v>16</v>
      </c>
    </row>
    <row r="240" spans="1:5" ht="14.25" customHeight="1" x14ac:dyDescent="0.3">
      <c r="A240" s="4" t="s">
        <v>17</v>
      </c>
      <c r="B240" s="4" t="s">
        <v>24</v>
      </c>
      <c r="C240" s="4" t="s">
        <v>32</v>
      </c>
      <c r="D240" s="4" t="s">
        <v>33</v>
      </c>
      <c r="E240" s="4" t="s">
        <v>25</v>
      </c>
    </row>
    <row r="241" spans="1:5" ht="14.25" customHeight="1" x14ac:dyDescent="0.3">
      <c r="A241" s="4" t="s">
        <v>34</v>
      </c>
      <c r="B241" s="4" t="s">
        <v>26</v>
      </c>
      <c r="C241" s="4" t="s">
        <v>14</v>
      </c>
      <c r="D241" s="4" t="s">
        <v>33</v>
      </c>
      <c r="E241" s="4" t="s">
        <v>25</v>
      </c>
    </row>
    <row r="242" spans="1:5" ht="14.25" customHeight="1" x14ac:dyDescent="0.3">
      <c r="A242" s="4" t="s">
        <v>21</v>
      </c>
      <c r="B242" s="4" t="s">
        <v>26</v>
      </c>
      <c r="C242" s="4" t="s">
        <v>14</v>
      </c>
      <c r="D242" s="4" t="s">
        <v>15</v>
      </c>
      <c r="E242" s="4" t="s">
        <v>25</v>
      </c>
    </row>
    <row r="243" spans="1:5" ht="14.25" customHeight="1" x14ac:dyDescent="0.3">
      <c r="A243" s="4" t="s">
        <v>23</v>
      </c>
      <c r="B243" s="4" t="s">
        <v>43</v>
      </c>
      <c r="C243" s="4" t="s">
        <v>32</v>
      </c>
      <c r="D243" s="4" t="s">
        <v>29</v>
      </c>
      <c r="E243" s="4" t="s">
        <v>16</v>
      </c>
    </row>
    <row r="244" spans="1:5" ht="14.25" customHeight="1" x14ac:dyDescent="0.3">
      <c r="A244" s="4" t="s">
        <v>55</v>
      </c>
      <c r="B244" s="4" t="s">
        <v>35</v>
      </c>
      <c r="C244" s="4" t="s">
        <v>14</v>
      </c>
      <c r="D244" s="4" t="s">
        <v>29</v>
      </c>
      <c r="E244" s="4" t="s">
        <v>25</v>
      </c>
    </row>
    <row r="245" spans="1:5" ht="14.25" customHeight="1" x14ac:dyDescent="0.3">
      <c r="A245" s="4" t="s">
        <v>55</v>
      </c>
      <c r="B245" s="4" t="s">
        <v>13</v>
      </c>
      <c r="C245" s="4" t="s">
        <v>14</v>
      </c>
      <c r="D245" s="4" t="s">
        <v>15</v>
      </c>
      <c r="E245" s="4" t="s">
        <v>16</v>
      </c>
    </row>
    <row r="246" spans="1:5" ht="14.25" customHeight="1" x14ac:dyDescent="0.3">
      <c r="A246" s="4" t="s">
        <v>46</v>
      </c>
      <c r="B246" s="4" t="s">
        <v>28</v>
      </c>
      <c r="C246" s="4" t="s">
        <v>14</v>
      </c>
      <c r="D246" s="4" t="s">
        <v>20</v>
      </c>
      <c r="E246" s="4" t="s">
        <v>16</v>
      </c>
    </row>
    <row r="247" spans="1:5" ht="14.25" customHeight="1" x14ac:dyDescent="0.3">
      <c r="A247" s="4" t="s">
        <v>23</v>
      </c>
      <c r="B247" s="4" t="s">
        <v>26</v>
      </c>
      <c r="C247" s="4" t="s">
        <v>14</v>
      </c>
      <c r="D247" s="4" t="s">
        <v>30</v>
      </c>
      <c r="E247" s="4" t="s">
        <v>25</v>
      </c>
    </row>
    <row r="248" spans="1:5" ht="14.25" customHeight="1" x14ac:dyDescent="0.3">
      <c r="A248" s="4" t="s">
        <v>21</v>
      </c>
      <c r="B248" s="4" t="s">
        <v>22</v>
      </c>
      <c r="C248" s="4" t="s">
        <v>14</v>
      </c>
      <c r="D248" s="4" t="s">
        <v>15</v>
      </c>
      <c r="E248" s="4" t="s">
        <v>16</v>
      </c>
    </row>
    <row r="249" spans="1:5" ht="14.25" customHeight="1" x14ac:dyDescent="0.3">
      <c r="A249" s="4" t="s">
        <v>17</v>
      </c>
      <c r="B249" s="4" t="s">
        <v>31</v>
      </c>
      <c r="C249" s="4" t="s">
        <v>32</v>
      </c>
      <c r="D249" s="4" t="s">
        <v>33</v>
      </c>
      <c r="E249" s="4" t="s">
        <v>25</v>
      </c>
    </row>
    <row r="250" spans="1:5" ht="14.25" customHeight="1" x14ac:dyDescent="0.3">
      <c r="A250" s="4" t="s">
        <v>17</v>
      </c>
      <c r="B250" s="4" t="s">
        <v>24</v>
      </c>
      <c r="C250" s="4" t="s">
        <v>32</v>
      </c>
      <c r="D250" s="4" t="s">
        <v>33</v>
      </c>
      <c r="E250" s="4" t="s">
        <v>16</v>
      </c>
    </row>
    <row r="251" spans="1:5" ht="14.25" customHeight="1" x14ac:dyDescent="0.3">
      <c r="A251" s="4" t="s">
        <v>23</v>
      </c>
      <c r="B251" s="4" t="s">
        <v>26</v>
      </c>
      <c r="C251" s="4" t="s">
        <v>14</v>
      </c>
      <c r="D251" s="4" t="s">
        <v>30</v>
      </c>
      <c r="E251" s="4" t="s">
        <v>16</v>
      </c>
    </row>
    <row r="252" spans="1:5" ht="14.25" customHeight="1" x14ac:dyDescent="0.3">
      <c r="A252" s="4" t="s">
        <v>21</v>
      </c>
      <c r="B252" s="4" t="s">
        <v>28</v>
      </c>
      <c r="C252" s="4" t="s">
        <v>14</v>
      </c>
      <c r="D252" s="4" t="s">
        <v>20</v>
      </c>
      <c r="E252" s="4" t="s">
        <v>25</v>
      </c>
    </row>
    <row r="253" spans="1:5" ht="14.25" customHeight="1" x14ac:dyDescent="0.3">
      <c r="A253" s="4" t="s">
        <v>27</v>
      </c>
      <c r="B253" s="4" t="s">
        <v>28</v>
      </c>
      <c r="C253" s="4" t="s">
        <v>32</v>
      </c>
      <c r="D253" s="4" t="s">
        <v>36</v>
      </c>
      <c r="E253" s="4" t="s">
        <v>16</v>
      </c>
    </row>
    <row r="254" spans="1:5" ht="14.25" customHeight="1" x14ac:dyDescent="0.3">
      <c r="A254" s="4" t="s">
        <v>44</v>
      </c>
      <c r="B254" s="4" t="s">
        <v>22</v>
      </c>
      <c r="C254" s="4" t="s">
        <v>14</v>
      </c>
      <c r="D254" s="4" t="s">
        <v>36</v>
      </c>
      <c r="E254" s="4" t="s">
        <v>16</v>
      </c>
    </row>
    <row r="255" spans="1:5" ht="14.25" customHeight="1" x14ac:dyDescent="0.3">
      <c r="A255" s="4" t="s">
        <v>21</v>
      </c>
      <c r="B255" s="4" t="s">
        <v>24</v>
      </c>
      <c r="C255" s="4" t="s">
        <v>14</v>
      </c>
      <c r="D255" s="4" t="s">
        <v>20</v>
      </c>
      <c r="E255" s="4" t="s">
        <v>25</v>
      </c>
    </row>
    <row r="256" spans="1:5" ht="14.25" customHeight="1" x14ac:dyDescent="0.3">
      <c r="A256" s="4" t="s">
        <v>21</v>
      </c>
      <c r="B256" s="4" t="s">
        <v>22</v>
      </c>
      <c r="C256" s="4" t="s">
        <v>14</v>
      </c>
      <c r="D256" s="4" t="s">
        <v>20</v>
      </c>
      <c r="E256" s="4" t="s">
        <v>25</v>
      </c>
    </row>
    <row r="257" spans="1:5" ht="14.25" customHeight="1" x14ac:dyDescent="0.3">
      <c r="A257" s="4" t="s">
        <v>44</v>
      </c>
      <c r="B257" s="4" t="s">
        <v>22</v>
      </c>
      <c r="C257" s="4" t="s">
        <v>19</v>
      </c>
      <c r="D257" s="4" t="s">
        <v>36</v>
      </c>
      <c r="E257" s="4" t="s">
        <v>25</v>
      </c>
    </row>
    <row r="258" spans="1:5" ht="14.25" customHeight="1" x14ac:dyDescent="0.3">
      <c r="A258" s="4" t="s">
        <v>21</v>
      </c>
      <c r="B258" s="4" t="s">
        <v>22</v>
      </c>
      <c r="C258" s="4" t="s">
        <v>14</v>
      </c>
      <c r="D258" s="4" t="s">
        <v>15</v>
      </c>
      <c r="E258" s="4" t="s">
        <v>16</v>
      </c>
    </row>
    <row r="259" spans="1:5" ht="14.25" customHeight="1" x14ac:dyDescent="0.3">
      <c r="A259" s="4" t="s">
        <v>21</v>
      </c>
      <c r="B259" s="4" t="s">
        <v>31</v>
      </c>
      <c r="C259" s="4" t="s">
        <v>14</v>
      </c>
      <c r="D259" s="4" t="s">
        <v>36</v>
      </c>
      <c r="E259" s="4" t="s">
        <v>25</v>
      </c>
    </row>
    <row r="260" spans="1:5" ht="14.25" customHeight="1" x14ac:dyDescent="0.3">
      <c r="A260" s="4" t="s">
        <v>21</v>
      </c>
      <c r="B260" s="4" t="s">
        <v>22</v>
      </c>
      <c r="C260" s="4" t="s">
        <v>14</v>
      </c>
      <c r="D260" s="4" t="s">
        <v>20</v>
      </c>
      <c r="E260" s="4" t="s">
        <v>25</v>
      </c>
    </row>
    <row r="261" spans="1:5" ht="14.25" customHeight="1" x14ac:dyDescent="0.3">
      <c r="A261" s="4" t="s">
        <v>21</v>
      </c>
      <c r="B261" s="4" t="s">
        <v>22</v>
      </c>
      <c r="C261" s="4" t="s">
        <v>32</v>
      </c>
      <c r="D261" s="4" t="s">
        <v>20</v>
      </c>
      <c r="E261" s="4" t="s">
        <v>16</v>
      </c>
    </row>
    <row r="262" spans="1:5" ht="14.25" customHeight="1" x14ac:dyDescent="0.3">
      <c r="A262" s="4" t="s">
        <v>27</v>
      </c>
      <c r="B262" s="4" t="s">
        <v>28</v>
      </c>
      <c r="C262" s="4" t="s">
        <v>14</v>
      </c>
      <c r="D262" s="4" t="s">
        <v>29</v>
      </c>
      <c r="E262" s="4" t="s">
        <v>25</v>
      </c>
    </row>
    <row r="263" spans="1:5" ht="14.25" customHeight="1" x14ac:dyDescent="0.3">
      <c r="A263" s="4" t="s">
        <v>23</v>
      </c>
      <c r="B263" s="4" t="s">
        <v>26</v>
      </c>
      <c r="C263" s="4" t="s">
        <v>14</v>
      </c>
      <c r="D263" s="4" t="s">
        <v>29</v>
      </c>
      <c r="E263" s="4" t="s">
        <v>16</v>
      </c>
    </row>
    <row r="264" spans="1:5" ht="14.25" customHeight="1" x14ac:dyDescent="0.3">
      <c r="A264" s="4" t="s">
        <v>50</v>
      </c>
      <c r="B264" s="4" t="s">
        <v>22</v>
      </c>
      <c r="C264" s="4" t="s">
        <v>14</v>
      </c>
      <c r="D264" s="4" t="s">
        <v>20</v>
      </c>
      <c r="E264" s="4" t="s">
        <v>16</v>
      </c>
    </row>
    <row r="265" spans="1:5" ht="14.25" customHeight="1" x14ac:dyDescent="0.3">
      <c r="A265" s="4" t="s">
        <v>41</v>
      </c>
      <c r="B265" s="4" t="s">
        <v>24</v>
      </c>
      <c r="C265" s="4" t="s">
        <v>32</v>
      </c>
      <c r="D265" s="4" t="s">
        <v>15</v>
      </c>
      <c r="E265" s="4" t="s">
        <v>25</v>
      </c>
    </row>
    <row r="266" spans="1:5" ht="14.25" customHeight="1" x14ac:dyDescent="0.3">
      <c r="A266" s="4" t="s">
        <v>46</v>
      </c>
      <c r="B266" s="4" t="s">
        <v>28</v>
      </c>
      <c r="C266" s="4" t="s">
        <v>14</v>
      </c>
      <c r="D266" s="4" t="s">
        <v>15</v>
      </c>
      <c r="E266" s="4" t="s">
        <v>25</v>
      </c>
    </row>
    <row r="267" spans="1:5" ht="14.25" customHeight="1" x14ac:dyDescent="0.3">
      <c r="A267" s="4" t="s">
        <v>23</v>
      </c>
      <c r="B267" s="4" t="s">
        <v>26</v>
      </c>
      <c r="C267" s="4" t="s">
        <v>14</v>
      </c>
      <c r="D267" s="4" t="s">
        <v>20</v>
      </c>
      <c r="E267" s="4" t="s">
        <v>16</v>
      </c>
    </row>
    <row r="268" spans="1:5" ht="14.25" customHeight="1" x14ac:dyDescent="0.3">
      <c r="A268" s="4" t="s">
        <v>21</v>
      </c>
      <c r="B268" s="4" t="s">
        <v>22</v>
      </c>
      <c r="C268" s="4" t="s">
        <v>14</v>
      </c>
      <c r="D268" s="4" t="s">
        <v>20</v>
      </c>
      <c r="E268" s="4" t="s">
        <v>25</v>
      </c>
    </row>
    <row r="269" spans="1:5" ht="14.25" customHeight="1" x14ac:dyDescent="0.3">
      <c r="A269" s="4" t="s">
        <v>17</v>
      </c>
      <c r="B269" s="4" t="s">
        <v>26</v>
      </c>
      <c r="C269" s="4" t="s">
        <v>19</v>
      </c>
      <c r="D269" s="4" t="s">
        <v>20</v>
      </c>
      <c r="E269" s="4" t="s">
        <v>25</v>
      </c>
    </row>
    <row r="270" spans="1:5" ht="14.25" customHeight="1" x14ac:dyDescent="0.3">
      <c r="A270" s="4" t="s">
        <v>41</v>
      </c>
      <c r="B270" s="4" t="s">
        <v>24</v>
      </c>
      <c r="C270" s="4" t="s">
        <v>14</v>
      </c>
      <c r="D270" s="4" t="s">
        <v>15</v>
      </c>
      <c r="E270" s="4" t="s">
        <v>25</v>
      </c>
    </row>
    <row r="271" spans="1:5" ht="14.25" customHeight="1" x14ac:dyDescent="0.3">
      <c r="A271" s="4" t="s">
        <v>21</v>
      </c>
      <c r="B271" s="4" t="s">
        <v>35</v>
      </c>
      <c r="C271" s="4" t="s">
        <v>14</v>
      </c>
      <c r="D271" s="4" t="s">
        <v>15</v>
      </c>
      <c r="E271" s="4" t="s">
        <v>16</v>
      </c>
    </row>
    <row r="272" spans="1:5" ht="14.25" customHeight="1" x14ac:dyDescent="0.3">
      <c r="A272" s="4" t="s">
        <v>56</v>
      </c>
      <c r="B272" s="4" t="s">
        <v>59</v>
      </c>
      <c r="C272" s="4" t="s">
        <v>32</v>
      </c>
      <c r="D272" s="4" t="s">
        <v>29</v>
      </c>
      <c r="E272" s="4" t="s">
        <v>16</v>
      </c>
    </row>
    <row r="273" spans="1:5" ht="14.25" customHeight="1" x14ac:dyDescent="0.3">
      <c r="A273" s="4" t="s">
        <v>44</v>
      </c>
      <c r="B273" s="4" t="s">
        <v>22</v>
      </c>
      <c r="C273" s="4" t="s">
        <v>19</v>
      </c>
      <c r="D273" s="4" t="s">
        <v>20</v>
      </c>
      <c r="E273" s="4" t="s">
        <v>25</v>
      </c>
    </row>
    <row r="274" spans="1:5" ht="14.25" customHeight="1" x14ac:dyDescent="0.3">
      <c r="A274" s="4" t="s">
        <v>44</v>
      </c>
      <c r="B274" s="4" t="s">
        <v>22</v>
      </c>
      <c r="C274" s="4" t="s">
        <v>14</v>
      </c>
      <c r="D274" s="4" t="s">
        <v>36</v>
      </c>
      <c r="E274" s="4" t="s">
        <v>25</v>
      </c>
    </row>
    <row r="275" spans="1:5" ht="14.25" customHeight="1" x14ac:dyDescent="0.3">
      <c r="A275" s="4" t="s">
        <v>21</v>
      </c>
      <c r="B275" s="4" t="s">
        <v>22</v>
      </c>
      <c r="C275" s="4" t="s">
        <v>14</v>
      </c>
      <c r="D275" s="4" t="s">
        <v>20</v>
      </c>
      <c r="E275" s="4" t="s">
        <v>25</v>
      </c>
    </row>
    <row r="276" spans="1:5" ht="14.25" customHeight="1" x14ac:dyDescent="0.3">
      <c r="A276" s="4" t="s">
        <v>44</v>
      </c>
      <c r="B276" s="4" t="s">
        <v>22</v>
      </c>
      <c r="C276" s="4" t="s">
        <v>32</v>
      </c>
      <c r="D276" s="4" t="s">
        <v>40</v>
      </c>
      <c r="E276" s="4" t="s">
        <v>25</v>
      </c>
    </row>
    <row r="277" spans="1:5" ht="14.25" customHeight="1" x14ac:dyDescent="0.3">
      <c r="A277" s="4" t="s">
        <v>17</v>
      </c>
      <c r="B277" s="4" t="s">
        <v>24</v>
      </c>
      <c r="C277" s="4" t="s">
        <v>32</v>
      </c>
      <c r="D277" s="4" t="s">
        <v>20</v>
      </c>
      <c r="E277" s="4" t="s">
        <v>25</v>
      </c>
    </row>
    <row r="278" spans="1:5" ht="14.25" customHeight="1" x14ac:dyDescent="0.3">
      <c r="A278" s="4" t="s">
        <v>41</v>
      </c>
      <c r="B278" s="4" t="s">
        <v>24</v>
      </c>
      <c r="C278" s="4" t="s">
        <v>14</v>
      </c>
      <c r="D278" s="4" t="s">
        <v>15</v>
      </c>
      <c r="E278" s="4" t="s">
        <v>25</v>
      </c>
    </row>
    <row r="279" spans="1:5" ht="14.25" customHeight="1" x14ac:dyDescent="0.3">
      <c r="A279" s="4" t="s">
        <v>21</v>
      </c>
      <c r="B279" s="4" t="s">
        <v>22</v>
      </c>
      <c r="C279" s="4" t="s">
        <v>14</v>
      </c>
      <c r="D279" s="4" t="s">
        <v>29</v>
      </c>
      <c r="E279" s="4" t="s">
        <v>25</v>
      </c>
    </row>
    <row r="280" spans="1:5" ht="14.25" customHeight="1" x14ac:dyDescent="0.3">
      <c r="A280" s="4" t="s">
        <v>23</v>
      </c>
      <c r="B280" s="4" t="s">
        <v>26</v>
      </c>
      <c r="C280" s="4" t="s">
        <v>14</v>
      </c>
      <c r="D280" s="4" t="s">
        <v>29</v>
      </c>
      <c r="E280" s="4" t="s">
        <v>16</v>
      </c>
    </row>
    <row r="281" spans="1:5" ht="14.25" customHeight="1" x14ac:dyDescent="0.3">
      <c r="A281" s="4" t="s">
        <v>21</v>
      </c>
      <c r="B281" s="4" t="s">
        <v>22</v>
      </c>
      <c r="C281" s="4" t="s">
        <v>14</v>
      </c>
      <c r="D281" s="4" t="s">
        <v>40</v>
      </c>
      <c r="E281" s="4" t="s">
        <v>25</v>
      </c>
    </row>
    <row r="282" spans="1:5" ht="14.25" customHeight="1" x14ac:dyDescent="0.3">
      <c r="A282" s="4" t="s">
        <v>23</v>
      </c>
      <c r="B282" s="4" t="s">
        <v>28</v>
      </c>
      <c r="C282" s="4" t="s">
        <v>32</v>
      </c>
      <c r="D282" s="4" t="s">
        <v>30</v>
      </c>
      <c r="E282" s="4" t="s">
        <v>16</v>
      </c>
    </row>
    <row r="283" spans="1:5" ht="14.25" customHeight="1" x14ac:dyDescent="0.3">
      <c r="A283" s="4" t="s">
        <v>27</v>
      </c>
      <c r="B283" s="4" t="s">
        <v>28</v>
      </c>
      <c r="C283" s="4" t="s">
        <v>14</v>
      </c>
      <c r="D283" s="4" t="s">
        <v>29</v>
      </c>
      <c r="E283" s="4" t="s">
        <v>16</v>
      </c>
    </row>
    <row r="284" spans="1:5" ht="14.25" customHeight="1" x14ac:dyDescent="0.3">
      <c r="A284" s="4" t="s">
        <v>17</v>
      </c>
      <c r="B284" s="4" t="s">
        <v>18</v>
      </c>
      <c r="C284" s="4" t="s">
        <v>32</v>
      </c>
      <c r="D284" s="4" t="s">
        <v>20</v>
      </c>
      <c r="E284" s="4" t="s">
        <v>25</v>
      </c>
    </row>
    <row r="285" spans="1:5" ht="14.25" customHeight="1" x14ac:dyDescent="0.3">
      <c r="A285" s="4" t="s">
        <v>27</v>
      </c>
      <c r="B285" s="4" t="s">
        <v>28</v>
      </c>
      <c r="C285" s="4" t="s">
        <v>14</v>
      </c>
      <c r="D285" s="4" t="s">
        <v>30</v>
      </c>
      <c r="E285" s="4" t="s">
        <v>16</v>
      </c>
    </row>
    <row r="286" spans="1:5" ht="14.25" customHeight="1" x14ac:dyDescent="0.3">
      <c r="A286" s="4" t="s">
        <v>27</v>
      </c>
      <c r="B286" s="4" t="s">
        <v>28</v>
      </c>
      <c r="C286" s="4" t="s">
        <v>32</v>
      </c>
      <c r="D286" s="4" t="s">
        <v>15</v>
      </c>
      <c r="E286" s="4" t="s">
        <v>16</v>
      </c>
    </row>
    <row r="287" spans="1:5" ht="14.25" customHeight="1" x14ac:dyDescent="0.3">
      <c r="A287" s="4" t="s">
        <v>12</v>
      </c>
      <c r="B287" s="4" t="s">
        <v>35</v>
      </c>
      <c r="C287" s="4" t="s">
        <v>14</v>
      </c>
      <c r="D287" s="4" t="s">
        <v>40</v>
      </c>
      <c r="E287" s="4" t="s">
        <v>25</v>
      </c>
    </row>
    <row r="288" spans="1:5" ht="14.25" customHeight="1" x14ac:dyDescent="0.3">
      <c r="A288" s="4" t="s">
        <v>23</v>
      </c>
      <c r="B288" s="4" t="s">
        <v>26</v>
      </c>
      <c r="C288" s="4" t="s">
        <v>14</v>
      </c>
      <c r="D288" s="4" t="s">
        <v>29</v>
      </c>
      <c r="E288" s="4" t="s">
        <v>16</v>
      </c>
    </row>
    <row r="289" spans="1:5" ht="14.25" customHeight="1" x14ac:dyDescent="0.3">
      <c r="A289" s="4" t="s">
        <v>21</v>
      </c>
      <c r="B289" s="4" t="s">
        <v>22</v>
      </c>
      <c r="C289" s="4" t="s">
        <v>14</v>
      </c>
      <c r="D289" s="4" t="s">
        <v>33</v>
      </c>
      <c r="E289" s="4" t="s">
        <v>25</v>
      </c>
    </row>
    <row r="290" spans="1:5" ht="14.25" customHeight="1" x14ac:dyDescent="0.3">
      <c r="A290" s="4" t="s">
        <v>41</v>
      </c>
      <c r="B290" s="4" t="s">
        <v>28</v>
      </c>
      <c r="C290" s="4" t="s">
        <v>14</v>
      </c>
      <c r="D290" s="4" t="s">
        <v>15</v>
      </c>
      <c r="E290" s="4" t="s">
        <v>16</v>
      </c>
    </row>
    <row r="291" spans="1:5" ht="14.25" customHeight="1" x14ac:dyDescent="0.3">
      <c r="A291" s="4" t="s">
        <v>21</v>
      </c>
      <c r="B291" s="4" t="s">
        <v>22</v>
      </c>
      <c r="C291" s="4" t="s">
        <v>14</v>
      </c>
      <c r="D291" s="4" t="s">
        <v>20</v>
      </c>
      <c r="E291" s="4" t="s">
        <v>25</v>
      </c>
    </row>
    <row r="292" spans="1:5" ht="14.25" customHeight="1" x14ac:dyDescent="0.3">
      <c r="A292" s="4" t="s">
        <v>41</v>
      </c>
      <c r="B292" s="4" t="s">
        <v>24</v>
      </c>
      <c r="C292" s="4" t="s">
        <v>14</v>
      </c>
      <c r="D292" s="4" t="s">
        <v>15</v>
      </c>
      <c r="E292" s="4" t="s">
        <v>25</v>
      </c>
    </row>
    <row r="293" spans="1:5" ht="14.25" customHeight="1" x14ac:dyDescent="0.3">
      <c r="A293" s="4" t="s">
        <v>42</v>
      </c>
      <c r="B293" s="4" t="s">
        <v>26</v>
      </c>
      <c r="C293" s="4" t="s">
        <v>14</v>
      </c>
      <c r="D293" s="4" t="s">
        <v>20</v>
      </c>
      <c r="E293" s="4" t="s">
        <v>25</v>
      </c>
    </row>
    <row r="294" spans="1:5" ht="14.25" customHeight="1" x14ac:dyDescent="0.3">
      <c r="A294" s="4" t="s">
        <v>41</v>
      </c>
      <c r="B294" s="4" t="s">
        <v>28</v>
      </c>
      <c r="C294" s="4" t="s">
        <v>32</v>
      </c>
      <c r="D294" s="4" t="s">
        <v>15</v>
      </c>
      <c r="E294" s="4" t="s">
        <v>16</v>
      </c>
    </row>
    <row r="295" spans="1:5" ht="14.25" customHeight="1" x14ac:dyDescent="0.3">
      <c r="A295" s="4" t="s">
        <v>23</v>
      </c>
      <c r="B295" s="4" t="s">
        <v>26</v>
      </c>
      <c r="C295" s="4" t="s">
        <v>14</v>
      </c>
      <c r="D295" s="4" t="s">
        <v>15</v>
      </c>
      <c r="E295" s="4" t="s">
        <v>16</v>
      </c>
    </row>
    <row r="296" spans="1:5" ht="14.25" customHeight="1" x14ac:dyDescent="0.3">
      <c r="A296" s="4" t="s">
        <v>53</v>
      </c>
      <c r="B296" s="4" t="s">
        <v>35</v>
      </c>
      <c r="C296" s="4" t="s">
        <v>14</v>
      </c>
      <c r="D296" s="4" t="s">
        <v>15</v>
      </c>
      <c r="E296" s="4" t="s">
        <v>25</v>
      </c>
    </row>
    <row r="297" spans="1:5" ht="14.25" customHeight="1" x14ac:dyDescent="0.3">
      <c r="A297" s="4" t="s">
        <v>27</v>
      </c>
      <c r="B297" s="4" t="s">
        <v>28</v>
      </c>
      <c r="C297" s="4" t="s">
        <v>32</v>
      </c>
      <c r="D297" s="4" t="s">
        <v>30</v>
      </c>
      <c r="E297" s="4" t="s">
        <v>16</v>
      </c>
    </row>
    <row r="298" spans="1:5" ht="14.25" customHeight="1" x14ac:dyDescent="0.3">
      <c r="A298" s="4" t="s">
        <v>23</v>
      </c>
      <c r="B298" s="4" t="s">
        <v>28</v>
      </c>
      <c r="C298" s="4" t="s">
        <v>14</v>
      </c>
      <c r="D298" s="4" t="s">
        <v>15</v>
      </c>
      <c r="E298" s="4" t="s">
        <v>25</v>
      </c>
    </row>
    <row r="299" spans="1:5" ht="14.25" customHeight="1" x14ac:dyDescent="0.3">
      <c r="A299" s="4" t="s">
        <v>21</v>
      </c>
      <c r="B299" s="4" t="s">
        <v>22</v>
      </c>
      <c r="C299" s="4" t="s">
        <v>14</v>
      </c>
      <c r="D299" s="4" t="s">
        <v>20</v>
      </c>
      <c r="E299" s="4" t="s">
        <v>25</v>
      </c>
    </row>
    <row r="300" spans="1:5" ht="14.25" customHeight="1" x14ac:dyDescent="0.3">
      <c r="A300" s="4" t="s">
        <v>21</v>
      </c>
      <c r="B300" s="4" t="s">
        <v>22</v>
      </c>
      <c r="C300" s="4" t="s">
        <v>14</v>
      </c>
      <c r="D300" s="4" t="s">
        <v>30</v>
      </c>
      <c r="E300" s="4" t="s">
        <v>25</v>
      </c>
    </row>
    <row r="301" spans="1:5" ht="14.25" customHeight="1" x14ac:dyDescent="0.3">
      <c r="A301" s="4" t="s">
        <v>27</v>
      </c>
      <c r="B301" s="4" t="s">
        <v>28</v>
      </c>
      <c r="C301" s="4" t="s">
        <v>14</v>
      </c>
      <c r="D301" s="4" t="s">
        <v>29</v>
      </c>
      <c r="E301" s="4" t="s">
        <v>25</v>
      </c>
    </row>
    <row r="302" spans="1:5" ht="14.25" customHeight="1" x14ac:dyDescent="0.3">
      <c r="A302" s="4" t="s">
        <v>34</v>
      </c>
      <c r="B302" s="4" t="s">
        <v>35</v>
      </c>
      <c r="C302" s="4" t="s">
        <v>14</v>
      </c>
      <c r="D302" s="4" t="s">
        <v>15</v>
      </c>
      <c r="E302" s="4" t="s">
        <v>16</v>
      </c>
    </row>
    <row r="303" spans="1:5" ht="14.25" customHeight="1" x14ac:dyDescent="0.3">
      <c r="A303" s="4" t="s">
        <v>21</v>
      </c>
      <c r="B303" s="4" t="s">
        <v>26</v>
      </c>
      <c r="C303" s="4" t="s">
        <v>14</v>
      </c>
      <c r="D303" s="4" t="s">
        <v>15</v>
      </c>
      <c r="E303" s="4" t="s">
        <v>25</v>
      </c>
    </row>
    <row r="304" spans="1:5" ht="14.25" customHeight="1" x14ac:dyDescent="0.3">
      <c r="A304" s="4" t="s">
        <v>41</v>
      </c>
      <c r="B304" s="4" t="s">
        <v>39</v>
      </c>
      <c r="C304" s="4" t="s">
        <v>14</v>
      </c>
      <c r="D304" s="4" t="s">
        <v>15</v>
      </c>
      <c r="E304" s="4" t="s">
        <v>25</v>
      </c>
    </row>
    <row r="305" spans="1:5" ht="14.25" customHeight="1" x14ac:dyDescent="0.3">
      <c r="A305" s="4" t="s">
        <v>27</v>
      </c>
      <c r="B305" s="4" t="s">
        <v>28</v>
      </c>
      <c r="C305" s="4" t="s">
        <v>14</v>
      </c>
      <c r="D305" s="4" t="s">
        <v>29</v>
      </c>
      <c r="E305" s="4" t="s">
        <v>16</v>
      </c>
    </row>
    <row r="306" spans="1:5" ht="14.25" customHeight="1" x14ac:dyDescent="0.3">
      <c r="A306" s="4" t="s">
        <v>21</v>
      </c>
      <c r="B306" s="4" t="s">
        <v>22</v>
      </c>
      <c r="C306" s="4" t="s">
        <v>14</v>
      </c>
      <c r="D306" s="4" t="s">
        <v>20</v>
      </c>
      <c r="E306" s="4" t="s">
        <v>25</v>
      </c>
    </row>
    <row r="307" spans="1:5" ht="14.25" customHeight="1" x14ac:dyDescent="0.3">
      <c r="A307" s="4" t="s">
        <v>21</v>
      </c>
      <c r="B307" s="4" t="s">
        <v>22</v>
      </c>
      <c r="C307" s="4" t="s">
        <v>14</v>
      </c>
      <c r="D307" s="4" t="s">
        <v>20</v>
      </c>
      <c r="E307" s="4" t="s">
        <v>25</v>
      </c>
    </row>
    <row r="308" spans="1:5" ht="14.25" customHeight="1" x14ac:dyDescent="0.3">
      <c r="A308" s="4" t="s">
        <v>44</v>
      </c>
      <c r="B308" s="4" t="s">
        <v>22</v>
      </c>
      <c r="C308" s="4" t="s">
        <v>14</v>
      </c>
      <c r="D308" s="4" t="s">
        <v>40</v>
      </c>
      <c r="E308" s="4" t="s">
        <v>25</v>
      </c>
    </row>
    <row r="309" spans="1:5" ht="14.25" customHeight="1" x14ac:dyDescent="0.3">
      <c r="A309" s="4" t="s">
        <v>27</v>
      </c>
      <c r="B309" s="4" t="s">
        <v>28</v>
      </c>
      <c r="C309" s="4" t="s">
        <v>14</v>
      </c>
      <c r="D309" s="4" t="s">
        <v>29</v>
      </c>
      <c r="E309" s="4" t="s">
        <v>16</v>
      </c>
    </row>
    <row r="310" spans="1:5" ht="14.25" customHeight="1" x14ac:dyDescent="0.3">
      <c r="A310" s="4" t="s">
        <v>21</v>
      </c>
      <c r="B310" s="4" t="s">
        <v>26</v>
      </c>
      <c r="C310" s="4" t="s">
        <v>14</v>
      </c>
      <c r="D310" s="4" t="s">
        <v>36</v>
      </c>
      <c r="E310" s="4" t="s">
        <v>25</v>
      </c>
    </row>
    <row r="311" spans="1:5" ht="14.25" customHeight="1" x14ac:dyDescent="0.3">
      <c r="A311" s="4" t="s">
        <v>23</v>
      </c>
      <c r="B311" s="4" t="s">
        <v>26</v>
      </c>
      <c r="C311" s="4" t="s">
        <v>14</v>
      </c>
      <c r="D311" s="4" t="s">
        <v>15</v>
      </c>
      <c r="E311" s="4" t="s">
        <v>25</v>
      </c>
    </row>
    <row r="312" spans="1:5" ht="14.25" customHeight="1" x14ac:dyDescent="0.3">
      <c r="A312" s="4" t="s">
        <v>27</v>
      </c>
      <c r="B312" s="4" t="s">
        <v>28</v>
      </c>
      <c r="C312" s="4" t="s">
        <v>32</v>
      </c>
      <c r="D312" s="4" t="s">
        <v>36</v>
      </c>
      <c r="E312" s="4" t="s">
        <v>25</v>
      </c>
    </row>
    <row r="313" spans="1:5" ht="14.25" customHeight="1" x14ac:dyDescent="0.3">
      <c r="A313" s="4" t="s">
        <v>23</v>
      </c>
      <c r="B313" s="4" t="s">
        <v>28</v>
      </c>
      <c r="C313" s="4" t="s">
        <v>14</v>
      </c>
      <c r="D313" s="4" t="s">
        <v>15</v>
      </c>
      <c r="E313" s="4" t="s">
        <v>16</v>
      </c>
    </row>
    <row r="314" spans="1:5" ht="14.25" customHeight="1" x14ac:dyDescent="0.3">
      <c r="A314" s="4" t="s">
        <v>52</v>
      </c>
      <c r="B314" s="4" t="s">
        <v>28</v>
      </c>
      <c r="C314" s="4" t="s">
        <v>14</v>
      </c>
      <c r="D314" s="4" t="s">
        <v>20</v>
      </c>
      <c r="E314" s="4" t="s">
        <v>25</v>
      </c>
    </row>
    <row r="315" spans="1:5" ht="14.25" customHeight="1" x14ac:dyDescent="0.3">
      <c r="A315" s="4" t="s">
        <v>34</v>
      </c>
      <c r="B315" s="4" t="s">
        <v>35</v>
      </c>
      <c r="C315" s="4" t="s">
        <v>14</v>
      </c>
      <c r="D315" s="4" t="s">
        <v>30</v>
      </c>
      <c r="E315" s="4" t="s">
        <v>16</v>
      </c>
    </row>
    <row r="316" spans="1:5" ht="14.25" customHeight="1" x14ac:dyDescent="0.3">
      <c r="A316" s="4" t="s">
        <v>55</v>
      </c>
      <c r="B316" s="4" t="s">
        <v>13</v>
      </c>
      <c r="C316" s="4" t="s">
        <v>32</v>
      </c>
      <c r="D316" s="4" t="s">
        <v>20</v>
      </c>
      <c r="E316" s="4" t="s">
        <v>16</v>
      </c>
    </row>
    <row r="317" spans="1:5" ht="14.25" customHeight="1" x14ac:dyDescent="0.3">
      <c r="A317" s="4" t="s">
        <v>27</v>
      </c>
      <c r="B317" s="4" t="s">
        <v>28</v>
      </c>
      <c r="C317" s="4" t="s">
        <v>14</v>
      </c>
      <c r="D317" s="4" t="s">
        <v>29</v>
      </c>
      <c r="E317" s="4" t="s">
        <v>25</v>
      </c>
    </row>
    <row r="318" spans="1:5" ht="14.25" customHeight="1" x14ac:dyDescent="0.3">
      <c r="A318" s="4" t="s">
        <v>23</v>
      </c>
      <c r="B318" s="4" t="s">
        <v>35</v>
      </c>
      <c r="C318" s="4" t="s">
        <v>14</v>
      </c>
      <c r="D318" s="4" t="s">
        <v>20</v>
      </c>
      <c r="E318" s="4" t="s">
        <v>25</v>
      </c>
    </row>
    <row r="319" spans="1:5" ht="14.25" customHeight="1" x14ac:dyDescent="0.3">
      <c r="A319" s="4" t="s">
        <v>44</v>
      </c>
      <c r="B319" s="4" t="s">
        <v>22</v>
      </c>
      <c r="C319" s="4" t="s">
        <v>19</v>
      </c>
      <c r="D319" s="4" t="s">
        <v>40</v>
      </c>
      <c r="E319" s="4" t="s">
        <v>16</v>
      </c>
    </row>
    <row r="320" spans="1:5" ht="14.25" customHeight="1" x14ac:dyDescent="0.3">
      <c r="A320" s="4" t="s">
        <v>44</v>
      </c>
      <c r="B320" s="4" t="s">
        <v>22</v>
      </c>
      <c r="C320" s="4" t="s">
        <v>14</v>
      </c>
      <c r="D320" s="4" t="s">
        <v>40</v>
      </c>
      <c r="E320" s="4" t="s">
        <v>25</v>
      </c>
    </row>
    <row r="321" spans="1:5" ht="14.25" customHeight="1" x14ac:dyDescent="0.3">
      <c r="A321" s="4" t="s">
        <v>34</v>
      </c>
      <c r="B321" s="4" t="s">
        <v>26</v>
      </c>
      <c r="C321" s="4" t="s">
        <v>14</v>
      </c>
      <c r="D321" s="4" t="s">
        <v>29</v>
      </c>
      <c r="E321" s="4" t="s">
        <v>25</v>
      </c>
    </row>
    <row r="322" spans="1:5" ht="14.25" customHeight="1" x14ac:dyDescent="0.3">
      <c r="A322" s="4" t="s">
        <v>21</v>
      </c>
      <c r="B322" s="4" t="s">
        <v>26</v>
      </c>
      <c r="C322" s="4" t="s">
        <v>14</v>
      </c>
      <c r="D322" s="4" t="s">
        <v>20</v>
      </c>
      <c r="E322" s="4" t="s">
        <v>25</v>
      </c>
    </row>
    <row r="323" spans="1:5" ht="14.25" customHeight="1" x14ac:dyDescent="0.3">
      <c r="A323" s="4" t="s">
        <v>27</v>
      </c>
      <c r="B323" s="4" t="s">
        <v>28</v>
      </c>
      <c r="C323" s="4" t="s">
        <v>32</v>
      </c>
      <c r="D323" s="4" t="s">
        <v>29</v>
      </c>
      <c r="E323" s="4" t="s">
        <v>25</v>
      </c>
    </row>
    <row r="324" spans="1:5" ht="14.25" customHeight="1" x14ac:dyDescent="0.3">
      <c r="A324" s="4" t="s">
        <v>23</v>
      </c>
      <c r="B324" s="4" t="s">
        <v>26</v>
      </c>
      <c r="C324" s="4" t="s">
        <v>14</v>
      </c>
      <c r="D324" s="4" t="s">
        <v>20</v>
      </c>
      <c r="E324" s="4" t="s">
        <v>25</v>
      </c>
    </row>
    <row r="325" spans="1:5" ht="14.25" customHeight="1" x14ac:dyDescent="0.3">
      <c r="A325" s="4" t="s">
        <v>27</v>
      </c>
      <c r="B325" s="4" t="s">
        <v>28</v>
      </c>
      <c r="C325" s="4" t="s">
        <v>14</v>
      </c>
      <c r="D325" s="4" t="s">
        <v>30</v>
      </c>
      <c r="E325" s="4" t="s">
        <v>16</v>
      </c>
    </row>
    <row r="326" spans="1:5" ht="14.25" customHeight="1" x14ac:dyDescent="0.3">
      <c r="A326" s="4" t="s">
        <v>21</v>
      </c>
      <c r="B326" s="4" t="s">
        <v>22</v>
      </c>
      <c r="C326" s="4" t="s">
        <v>14</v>
      </c>
      <c r="D326" s="4" t="s">
        <v>15</v>
      </c>
      <c r="E326" s="4" t="s">
        <v>25</v>
      </c>
    </row>
    <row r="327" spans="1:5" ht="14.25" customHeight="1" x14ac:dyDescent="0.3">
      <c r="A327" s="4" t="s">
        <v>44</v>
      </c>
      <c r="B327" s="4" t="s">
        <v>22</v>
      </c>
      <c r="C327" s="4" t="s">
        <v>14</v>
      </c>
      <c r="D327" s="4" t="s">
        <v>40</v>
      </c>
      <c r="E327" s="4" t="s">
        <v>25</v>
      </c>
    </row>
    <row r="328" spans="1:5" ht="14.25" customHeight="1" x14ac:dyDescent="0.3">
      <c r="A328" s="4" t="s">
        <v>27</v>
      </c>
      <c r="B328" s="4" t="s">
        <v>28</v>
      </c>
      <c r="C328" s="4" t="s">
        <v>14</v>
      </c>
      <c r="D328" s="4" t="s">
        <v>29</v>
      </c>
      <c r="E328" s="4" t="s">
        <v>25</v>
      </c>
    </row>
    <row r="329" spans="1:5" ht="14.25" customHeight="1" x14ac:dyDescent="0.3">
      <c r="A329" s="4" t="s">
        <v>17</v>
      </c>
      <c r="B329" s="4" t="s">
        <v>24</v>
      </c>
      <c r="C329" s="4" t="s">
        <v>32</v>
      </c>
      <c r="D329" s="4" t="s">
        <v>33</v>
      </c>
      <c r="E329" s="4" t="s">
        <v>25</v>
      </c>
    </row>
    <row r="330" spans="1:5" ht="14.25" customHeight="1" x14ac:dyDescent="0.3">
      <c r="A330" s="4" t="s">
        <v>21</v>
      </c>
      <c r="B330" s="4" t="s">
        <v>22</v>
      </c>
      <c r="C330" s="4" t="s">
        <v>14</v>
      </c>
      <c r="D330" s="4" t="s">
        <v>33</v>
      </c>
      <c r="E330" s="4" t="s">
        <v>16</v>
      </c>
    </row>
    <row r="331" spans="1:5" ht="14.25" customHeight="1" x14ac:dyDescent="0.3">
      <c r="A331" s="4" t="s">
        <v>27</v>
      </c>
      <c r="B331" s="4" t="s">
        <v>28</v>
      </c>
      <c r="C331" s="4" t="s">
        <v>14</v>
      </c>
      <c r="D331" s="4" t="s">
        <v>29</v>
      </c>
      <c r="E331" s="4" t="s">
        <v>16</v>
      </c>
    </row>
    <row r="332" spans="1:5" ht="14.25" customHeight="1" x14ac:dyDescent="0.3">
      <c r="A332" s="4" t="s">
        <v>34</v>
      </c>
      <c r="B332" s="4" t="s">
        <v>26</v>
      </c>
      <c r="C332" s="4" t="s">
        <v>14</v>
      </c>
      <c r="D332" s="4" t="s">
        <v>30</v>
      </c>
      <c r="E332" s="4" t="s">
        <v>16</v>
      </c>
    </row>
    <row r="333" spans="1:5" ht="14.25" customHeight="1" x14ac:dyDescent="0.3">
      <c r="A333" s="4" t="s">
        <v>44</v>
      </c>
      <c r="B333" s="4" t="s">
        <v>18</v>
      </c>
      <c r="C333" s="4" t="s">
        <v>32</v>
      </c>
      <c r="D333" s="4" t="s">
        <v>36</v>
      </c>
      <c r="E333" s="4" t="s">
        <v>16</v>
      </c>
    </row>
    <row r="334" spans="1:5" ht="14.25" customHeight="1" x14ac:dyDescent="0.3">
      <c r="A334" s="4" t="s">
        <v>41</v>
      </c>
      <c r="B334" s="4" t="s">
        <v>24</v>
      </c>
      <c r="C334" s="4" t="s">
        <v>14</v>
      </c>
      <c r="D334" s="4" t="s">
        <v>15</v>
      </c>
      <c r="E334" s="4" t="s">
        <v>25</v>
      </c>
    </row>
    <row r="335" spans="1:5" ht="14.25" customHeight="1" x14ac:dyDescent="0.3">
      <c r="A335" s="4" t="s">
        <v>21</v>
      </c>
      <c r="B335" s="4" t="s">
        <v>22</v>
      </c>
      <c r="C335" s="4" t="s">
        <v>19</v>
      </c>
      <c r="D335" s="4" t="s">
        <v>20</v>
      </c>
      <c r="E335" s="4" t="s">
        <v>16</v>
      </c>
    </row>
    <row r="336" spans="1:5" ht="14.25" customHeight="1" x14ac:dyDescent="0.3">
      <c r="A336" s="4" t="s">
        <v>21</v>
      </c>
      <c r="B336" s="4" t="s">
        <v>26</v>
      </c>
      <c r="C336" s="4" t="s">
        <v>14</v>
      </c>
      <c r="D336" s="4" t="s">
        <v>33</v>
      </c>
      <c r="E336" s="4" t="s">
        <v>25</v>
      </c>
    </row>
    <row r="337" spans="1:5" ht="14.25" customHeight="1" x14ac:dyDescent="0.3">
      <c r="A337" s="4" t="s">
        <v>27</v>
      </c>
      <c r="B337" s="4" t="s">
        <v>28</v>
      </c>
      <c r="C337" s="4" t="s">
        <v>14</v>
      </c>
      <c r="D337" s="4" t="s">
        <v>30</v>
      </c>
      <c r="E337" s="4" t="s">
        <v>16</v>
      </c>
    </row>
    <row r="338" spans="1:5" ht="14.25" customHeight="1" x14ac:dyDescent="0.3">
      <c r="A338" s="4" t="s">
        <v>55</v>
      </c>
      <c r="B338" s="4" t="s">
        <v>22</v>
      </c>
      <c r="C338" s="4" t="s">
        <v>14</v>
      </c>
      <c r="D338" s="4" t="s">
        <v>20</v>
      </c>
      <c r="E338" s="4" t="s">
        <v>25</v>
      </c>
    </row>
    <row r="339" spans="1:5" ht="14.25" customHeight="1" x14ac:dyDescent="0.3">
      <c r="A339" s="4" t="s">
        <v>21</v>
      </c>
      <c r="B339" s="4" t="s">
        <v>28</v>
      </c>
      <c r="C339" s="4" t="s">
        <v>14</v>
      </c>
      <c r="D339" s="4" t="s">
        <v>33</v>
      </c>
      <c r="E339" s="4" t="s">
        <v>25</v>
      </c>
    </row>
    <row r="340" spans="1:5" ht="14.25" customHeight="1" x14ac:dyDescent="0.3">
      <c r="A340" s="4" t="s">
        <v>44</v>
      </c>
      <c r="B340" s="4" t="s">
        <v>22</v>
      </c>
      <c r="C340" s="4" t="s">
        <v>14</v>
      </c>
      <c r="D340" s="4" t="s">
        <v>33</v>
      </c>
      <c r="E340" s="4" t="s">
        <v>16</v>
      </c>
    </row>
    <row r="341" spans="1:5" ht="14.25" customHeight="1" x14ac:dyDescent="0.3">
      <c r="A341" s="4" t="s">
        <v>21</v>
      </c>
      <c r="B341" s="4" t="s">
        <v>28</v>
      </c>
      <c r="C341" s="4" t="s">
        <v>19</v>
      </c>
      <c r="D341" s="4" t="s">
        <v>33</v>
      </c>
      <c r="E341" s="4" t="s">
        <v>25</v>
      </c>
    </row>
    <row r="342" spans="1:5" ht="14.25" customHeight="1" x14ac:dyDescent="0.3">
      <c r="A342" s="4" t="s">
        <v>27</v>
      </c>
      <c r="B342" s="4" t="s">
        <v>28</v>
      </c>
      <c r="C342" s="4" t="s">
        <v>14</v>
      </c>
      <c r="D342" s="4" t="s">
        <v>15</v>
      </c>
      <c r="E342" s="4" t="s">
        <v>25</v>
      </c>
    </row>
    <row r="343" spans="1:5" ht="14.25" customHeight="1" x14ac:dyDescent="0.3">
      <c r="A343" s="4" t="s">
        <v>21</v>
      </c>
      <c r="B343" s="4" t="s">
        <v>22</v>
      </c>
      <c r="C343" s="4" t="s">
        <v>19</v>
      </c>
      <c r="D343" s="4" t="s">
        <v>33</v>
      </c>
      <c r="E343" s="4" t="s">
        <v>25</v>
      </c>
    </row>
    <row r="344" spans="1:5" ht="14.25" customHeight="1" x14ac:dyDescent="0.3">
      <c r="A344" s="4" t="s">
        <v>27</v>
      </c>
      <c r="B344" s="4" t="s">
        <v>28</v>
      </c>
      <c r="C344" s="4" t="s">
        <v>14</v>
      </c>
      <c r="D344" s="4" t="s">
        <v>30</v>
      </c>
      <c r="E344" s="4" t="s">
        <v>16</v>
      </c>
    </row>
    <row r="345" spans="1:5" ht="14.25" customHeight="1" x14ac:dyDescent="0.3">
      <c r="A345" s="4" t="s">
        <v>17</v>
      </c>
      <c r="B345" s="4" t="s">
        <v>18</v>
      </c>
      <c r="C345" s="4" t="s">
        <v>49</v>
      </c>
      <c r="D345" s="4" t="s">
        <v>33</v>
      </c>
      <c r="E345" s="4" t="s">
        <v>16</v>
      </c>
    </row>
    <row r="346" spans="1:5" ht="14.25" customHeight="1" x14ac:dyDescent="0.3">
      <c r="A346" s="4" t="s">
        <v>21</v>
      </c>
      <c r="B346" s="4" t="s">
        <v>26</v>
      </c>
      <c r="C346" s="4" t="s">
        <v>14</v>
      </c>
      <c r="D346" s="4" t="s">
        <v>20</v>
      </c>
      <c r="E346" s="4" t="s">
        <v>25</v>
      </c>
    </row>
    <row r="347" spans="1:5" ht="14.25" customHeight="1" x14ac:dyDescent="0.3">
      <c r="A347" s="4" t="s">
        <v>21</v>
      </c>
      <c r="B347" s="4" t="s">
        <v>26</v>
      </c>
      <c r="C347" s="4" t="s">
        <v>32</v>
      </c>
      <c r="D347" s="4" t="s">
        <v>20</v>
      </c>
      <c r="E347" s="4" t="s">
        <v>16</v>
      </c>
    </row>
    <row r="348" spans="1:5" ht="14.25" customHeight="1" x14ac:dyDescent="0.3">
      <c r="A348" s="4" t="s">
        <v>17</v>
      </c>
      <c r="B348" s="4" t="s">
        <v>18</v>
      </c>
      <c r="C348" s="4" t="s">
        <v>49</v>
      </c>
      <c r="D348" s="4" t="s">
        <v>33</v>
      </c>
      <c r="E348" s="4" t="s">
        <v>16</v>
      </c>
    </row>
    <row r="349" spans="1:5" ht="14.25" customHeight="1" x14ac:dyDescent="0.3">
      <c r="A349" s="4" t="s">
        <v>23</v>
      </c>
      <c r="B349" s="4" t="s">
        <v>26</v>
      </c>
      <c r="C349" s="4" t="s">
        <v>14</v>
      </c>
      <c r="D349" s="4" t="s">
        <v>29</v>
      </c>
      <c r="E349" s="4" t="s">
        <v>25</v>
      </c>
    </row>
    <row r="350" spans="1:5" ht="14.25" customHeight="1" x14ac:dyDescent="0.3">
      <c r="A350" s="4" t="s">
        <v>21</v>
      </c>
      <c r="B350" s="4" t="s">
        <v>22</v>
      </c>
      <c r="C350" s="4" t="s">
        <v>14</v>
      </c>
      <c r="D350" s="4" t="s">
        <v>30</v>
      </c>
      <c r="E350" s="4" t="s">
        <v>16</v>
      </c>
    </row>
    <row r="351" spans="1:5" ht="14.25" customHeight="1" x14ac:dyDescent="0.3">
      <c r="A351" s="4" t="s">
        <v>44</v>
      </c>
      <c r="B351" s="4" t="s">
        <v>22</v>
      </c>
      <c r="C351" s="4" t="s">
        <v>19</v>
      </c>
      <c r="D351" s="4" t="s">
        <v>40</v>
      </c>
      <c r="E351" s="4" t="s">
        <v>25</v>
      </c>
    </row>
    <row r="352" spans="1:5" ht="14.25" customHeight="1" x14ac:dyDescent="0.3">
      <c r="A352" s="4" t="s">
        <v>23</v>
      </c>
      <c r="B352" s="4" t="s">
        <v>26</v>
      </c>
      <c r="C352" s="4" t="s">
        <v>14</v>
      </c>
      <c r="D352" s="4" t="s">
        <v>29</v>
      </c>
      <c r="E352" s="4" t="s">
        <v>16</v>
      </c>
    </row>
    <row r="353" spans="1:5" ht="14.25" customHeight="1" x14ac:dyDescent="0.3">
      <c r="A353" s="4" t="s">
        <v>41</v>
      </c>
      <c r="B353" s="4" t="s">
        <v>28</v>
      </c>
      <c r="C353" s="4" t="s">
        <v>14</v>
      </c>
      <c r="D353" s="4" t="s">
        <v>30</v>
      </c>
      <c r="E353" s="4" t="s">
        <v>16</v>
      </c>
    </row>
    <row r="354" spans="1:5" ht="14.25" customHeight="1" x14ac:dyDescent="0.3">
      <c r="A354" s="4" t="s">
        <v>27</v>
      </c>
      <c r="B354" s="4" t="s">
        <v>28</v>
      </c>
      <c r="C354" s="4" t="s">
        <v>14</v>
      </c>
      <c r="D354" s="4" t="s">
        <v>29</v>
      </c>
      <c r="E354" s="4" t="s">
        <v>16</v>
      </c>
    </row>
    <row r="355" spans="1:5" ht="14.25" customHeight="1" x14ac:dyDescent="0.3">
      <c r="A355" s="4" t="s">
        <v>27</v>
      </c>
      <c r="B355" s="4" t="s">
        <v>28</v>
      </c>
      <c r="C355" s="4" t="s">
        <v>14</v>
      </c>
      <c r="D355" s="4" t="s">
        <v>20</v>
      </c>
      <c r="E355" s="4" t="s">
        <v>16</v>
      </c>
    </row>
    <row r="356" spans="1:5" ht="14.25" customHeight="1" x14ac:dyDescent="0.3">
      <c r="A356" s="4" t="s">
        <v>21</v>
      </c>
      <c r="B356" s="4" t="s">
        <v>28</v>
      </c>
      <c r="C356" s="4" t="s">
        <v>14</v>
      </c>
      <c r="D356" s="4" t="s">
        <v>30</v>
      </c>
      <c r="E356" s="4" t="s">
        <v>25</v>
      </c>
    </row>
    <row r="357" spans="1:5" ht="14.25" customHeight="1" x14ac:dyDescent="0.3">
      <c r="A357" s="4" t="s">
        <v>27</v>
      </c>
      <c r="B357" s="4" t="s">
        <v>28</v>
      </c>
      <c r="C357" s="4" t="s">
        <v>14</v>
      </c>
      <c r="D357" s="4" t="s">
        <v>30</v>
      </c>
      <c r="E357" s="4" t="s">
        <v>16</v>
      </c>
    </row>
    <row r="358" spans="1:5" ht="14.25" customHeight="1" x14ac:dyDescent="0.3">
      <c r="A358" s="4" t="s">
        <v>21</v>
      </c>
      <c r="B358" s="4" t="s">
        <v>28</v>
      </c>
      <c r="C358" s="4" t="s">
        <v>14</v>
      </c>
      <c r="D358" s="4" t="s">
        <v>40</v>
      </c>
      <c r="E358" s="4" t="s">
        <v>25</v>
      </c>
    </row>
    <row r="359" spans="1:5" ht="14.25" customHeight="1" x14ac:dyDescent="0.3">
      <c r="A359" s="4" t="s">
        <v>21</v>
      </c>
      <c r="B359" s="4" t="s">
        <v>26</v>
      </c>
      <c r="C359" s="4" t="s">
        <v>14</v>
      </c>
      <c r="D359" s="4" t="s">
        <v>20</v>
      </c>
      <c r="E359" s="4" t="s">
        <v>25</v>
      </c>
    </row>
    <row r="360" spans="1:5" ht="14.25" customHeight="1" x14ac:dyDescent="0.3">
      <c r="A360" s="4" t="s">
        <v>34</v>
      </c>
      <c r="B360" s="4" t="s">
        <v>35</v>
      </c>
      <c r="C360" s="4" t="s">
        <v>14</v>
      </c>
      <c r="D360" s="4" t="s">
        <v>30</v>
      </c>
      <c r="E360" s="4" t="s">
        <v>25</v>
      </c>
    </row>
    <row r="361" spans="1:5" ht="14.25" customHeight="1" x14ac:dyDescent="0.3">
      <c r="A361" s="4" t="s">
        <v>21</v>
      </c>
      <c r="B361" s="4" t="s">
        <v>22</v>
      </c>
      <c r="C361" s="4" t="s">
        <v>32</v>
      </c>
      <c r="D361" s="4" t="s">
        <v>20</v>
      </c>
      <c r="E361" s="4" t="s">
        <v>16</v>
      </c>
    </row>
    <row r="362" spans="1:5" ht="14.25" customHeight="1" x14ac:dyDescent="0.3">
      <c r="A362" s="4" t="s">
        <v>46</v>
      </c>
      <c r="B362" s="4" t="s">
        <v>28</v>
      </c>
      <c r="C362" s="4" t="s">
        <v>14</v>
      </c>
      <c r="D362" s="4" t="s">
        <v>20</v>
      </c>
      <c r="E362" s="4" t="s">
        <v>25</v>
      </c>
    </row>
    <row r="363" spans="1:5" ht="14.25" customHeight="1" x14ac:dyDescent="0.3">
      <c r="A363" s="4" t="s">
        <v>23</v>
      </c>
      <c r="B363" s="4" t="s">
        <v>26</v>
      </c>
      <c r="C363" s="4" t="s">
        <v>14</v>
      </c>
      <c r="D363" s="4" t="s">
        <v>15</v>
      </c>
      <c r="E363" s="4" t="s">
        <v>25</v>
      </c>
    </row>
    <row r="364" spans="1:5" ht="14.25" customHeight="1" x14ac:dyDescent="0.3">
      <c r="A364" s="4" t="s">
        <v>23</v>
      </c>
      <c r="B364" s="4" t="s">
        <v>28</v>
      </c>
      <c r="C364" s="4" t="s">
        <v>14</v>
      </c>
      <c r="D364" s="4" t="s">
        <v>33</v>
      </c>
      <c r="E364" s="4" t="s">
        <v>16</v>
      </c>
    </row>
    <row r="365" spans="1:5" ht="14.25" customHeight="1" x14ac:dyDescent="0.3">
      <c r="A365" s="4" t="s">
        <v>44</v>
      </c>
      <c r="B365" s="4" t="s">
        <v>22</v>
      </c>
      <c r="C365" s="4" t="s">
        <v>14</v>
      </c>
      <c r="D365" s="4" t="s">
        <v>36</v>
      </c>
      <c r="E365" s="4" t="s">
        <v>25</v>
      </c>
    </row>
    <row r="366" spans="1:5" ht="14.25" customHeight="1" x14ac:dyDescent="0.3">
      <c r="A366" s="4" t="s">
        <v>23</v>
      </c>
      <c r="B366" s="4" t="s">
        <v>26</v>
      </c>
      <c r="C366" s="4" t="s">
        <v>14</v>
      </c>
      <c r="D366" s="4" t="s">
        <v>29</v>
      </c>
      <c r="E366" s="4" t="s">
        <v>25</v>
      </c>
    </row>
    <row r="367" spans="1:5" ht="14.25" customHeight="1" x14ac:dyDescent="0.3">
      <c r="A367" s="4" t="s">
        <v>12</v>
      </c>
      <c r="B367" s="4" t="s">
        <v>35</v>
      </c>
      <c r="C367" s="4" t="s">
        <v>14</v>
      </c>
      <c r="D367" s="4" t="s">
        <v>20</v>
      </c>
      <c r="E367" s="4" t="s">
        <v>25</v>
      </c>
    </row>
    <row r="368" spans="1:5" ht="14.25" customHeight="1" x14ac:dyDescent="0.3">
      <c r="A368" s="4" t="s">
        <v>34</v>
      </c>
      <c r="B368" s="4" t="s">
        <v>35</v>
      </c>
      <c r="C368" s="4" t="s">
        <v>14</v>
      </c>
      <c r="D368" s="4" t="s">
        <v>15</v>
      </c>
      <c r="E368" s="4" t="s">
        <v>25</v>
      </c>
    </row>
    <row r="369" spans="1:5" ht="14.25" customHeight="1" x14ac:dyDescent="0.3">
      <c r="A369" s="4" t="s">
        <v>46</v>
      </c>
      <c r="B369" s="4" t="s">
        <v>28</v>
      </c>
      <c r="C369" s="4" t="s">
        <v>14</v>
      </c>
      <c r="D369" s="4" t="s">
        <v>29</v>
      </c>
      <c r="E369" s="4" t="s">
        <v>16</v>
      </c>
    </row>
    <row r="370" spans="1:5" ht="14.25" customHeight="1" x14ac:dyDescent="0.3">
      <c r="A370" s="4" t="s">
        <v>23</v>
      </c>
      <c r="B370" s="4" t="s">
        <v>26</v>
      </c>
      <c r="C370" s="4" t="s">
        <v>14</v>
      </c>
      <c r="D370" s="4" t="s">
        <v>15</v>
      </c>
      <c r="E370" s="4" t="s">
        <v>25</v>
      </c>
    </row>
    <row r="371" spans="1:5" ht="14.25" customHeight="1" x14ac:dyDescent="0.3">
      <c r="A371" s="4" t="s">
        <v>21</v>
      </c>
      <c r="B371" s="4" t="s">
        <v>28</v>
      </c>
      <c r="C371" s="4" t="s">
        <v>14</v>
      </c>
      <c r="D371" s="4" t="s">
        <v>30</v>
      </c>
      <c r="E371" s="4" t="s">
        <v>25</v>
      </c>
    </row>
    <row r="372" spans="1:5" ht="14.25" customHeight="1" x14ac:dyDescent="0.3">
      <c r="A372" s="4" t="s">
        <v>38</v>
      </c>
      <c r="B372" s="4" t="s">
        <v>26</v>
      </c>
      <c r="C372" s="4" t="s">
        <v>14</v>
      </c>
      <c r="D372" s="4" t="s">
        <v>15</v>
      </c>
      <c r="E372" s="4" t="s">
        <v>16</v>
      </c>
    </row>
    <row r="373" spans="1:5" ht="14.25" customHeight="1" x14ac:dyDescent="0.3">
      <c r="A373" s="4" t="s">
        <v>27</v>
      </c>
      <c r="B373" s="4" t="s">
        <v>28</v>
      </c>
      <c r="C373" s="4" t="s">
        <v>14</v>
      </c>
      <c r="D373" s="4" t="s">
        <v>29</v>
      </c>
      <c r="E373" s="4" t="s">
        <v>16</v>
      </c>
    </row>
    <row r="374" spans="1:5" ht="14.25" customHeight="1" x14ac:dyDescent="0.3">
      <c r="A374" s="4" t="s">
        <v>17</v>
      </c>
      <c r="B374" s="4" t="s">
        <v>18</v>
      </c>
      <c r="C374" s="4" t="s">
        <v>32</v>
      </c>
      <c r="D374" s="4" t="s">
        <v>20</v>
      </c>
      <c r="E374" s="4" t="s">
        <v>16</v>
      </c>
    </row>
    <row r="375" spans="1:5" ht="14.25" customHeight="1" x14ac:dyDescent="0.3">
      <c r="A375" s="4" t="s">
        <v>46</v>
      </c>
      <c r="B375" s="4" t="s">
        <v>24</v>
      </c>
      <c r="C375" s="4" t="s">
        <v>14</v>
      </c>
      <c r="D375" s="4" t="s">
        <v>20</v>
      </c>
      <c r="E375" s="4" t="s">
        <v>16</v>
      </c>
    </row>
    <row r="376" spans="1:5" ht="14.25" customHeight="1" x14ac:dyDescent="0.3">
      <c r="A376" s="4" t="s">
        <v>21</v>
      </c>
      <c r="B376" s="4" t="s">
        <v>22</v>
      </c>
      <c r="C376" s="4" t="s">
        <v>14</v>
      </c>
      <c r="D376" s="4" t="s">
        <v>15</v>
      </c>
      <c r="E376" s="4" t="s">
        <v>25</v>
      </c>
    </row>
    <row r="377" spans="1:5" ht="14.25" customHeight="1" x14ac:dyDescent="0.3">
      <c r="A377" s="4" t="s">
        <v>23</v>
      </c>
      <c r="B377" s="4" t="s">
        <v>26</v>
      </c>
      <c r="C377" s="4" t="s">
        <v>14</v>
      </c>
      <c r="D377" s="4" t="s">
        <v>15</v>
      </c>
      <c r="E377" s="4" t="s">
        <v>25</v>
      </c>
    </row>
    <row r="378" spans="1:5" ht="14.25" customHeight="1" x14ac:dyDescent="0.3">
      <c r="A378" s="4" t="s">
        <v>21</v>
      </c>
      <c r="B378" s="4" t="s">
        <v>26</v>
      </c>
      <c r="C378" s="4" t="s">
        <v>14</v>
      </c>
      <c r="D378" s="4" t="s">
        <v>40</v>
      </c>
      <c r="E378" s="4" t="s">
        <v>25</v>
      </c>
    </row>
    <row r="379" spans="1:5" ht="14.25" customHeight="1" x14ac:dyDescent="0.3">
      <c r="A379" s="4" t="s">
        <v>21</v>
      </c>
      <c r="B379" s="4" t="s">
        <v>26</v>
      </c>
      <c r="C379" s="4" t="s">
        <v>14</v>
      </c>
      <c r="D379" s="4" t="s">
        <v>20</v>
      </c>
      <c r="E379" s="4" t="s">
        <v>25</v>
      </c>
    </row>
    <row r="380" spans="1:5" ht="14.25" customHeight="1" x14ac:dyDescent="0.3">
      <c r="A380" s="4" t="s">
        <v>46</v>
      </c>
      <c r="B380" s="4" t="s">
        <v>28</v>
      </c>
      <c r="C380" s="4" t="s">
        <v>14</v>
      </c>
      <c r="D380" s="4" t="s">
        <v>15</v>
      </c>
      <c r="E380" s="4" t="s">
        <v>16</v>
      </c>
    </row>
    <row r="381" spans="1:5" ht="14.25" customHeight="1" x14ac:dyDescent="0.3">
      <c r="A381" s="4" t="s">
        <v>55</v>
      </c>
      <c r="B381" s="4" t="s">
        <v>13</v>
      </c>
      <c r="C381" s="4" t="s">
        <v>14</v>
      </c>
      <c r="D381" s="4" t="s">
        <v>30</v>
      </c>
      <c r="E381" s="4" t="s">
        <v>16</v>
      </c>
    </row>
    <row r="382" spans="1:5" ht="14.25" customHeight="1" x14ac:dyDescent="0.3">
      <c r="A382" s="4" t="s">
        <v>55</v>
      </c>
      <c r="B382" s="4" t="s">
        <v>13</v>
      </c>
      <c r="C382" s="4" t="s">
        <v>32</v>
      </c>
      <c r="D382" s="4" t="s">
        <v>15</v>
      </c>
      <c r="E382" s="4" t="s">
        <v>16</v>
      </c>
    </row>
    <row r="383" spans="1:5" ht="14.25" customHeight="1" x14ac:dyDescent="0.3">
      <c r="A383" s="4" t="s">
        <v>23</v>
      </c>
      <c r="B383" s="4" t="s">
        <v>26</v>
      </c>
      <c r="C383" s="4" t="s">
        <v>14</v>
      </c>
      <c r="D383" s="4" t="s">
        <v>29</v>
      </c>
      <c r="E383" s="4" t="s">
        <v>25</v>
      </c>
    </row>
    <row r="384" spans="1:5" ht="14.25" customHeight="1" x14ac:dyDescent="0.3">
      <c r="A384" s="4" t="s">
        <v>46</v>
      </c>
      <c r="B384" s="4" t="s">
        <v>24</v>
      </c>
      <c r="C384" s="4" t="s">
        <v>14</v>
      </c>
      <c r="D384" s="4" t="s">
        <v>20</v>
      </c>
      <c r="E384" s="4" t="s">
        <v>16</v>
      </c>
    </row>
    <row r="385" spans="1:5" ht="14.25" customHeight="1" x14ac:dyDescent="0.3">
      <c r="A385" s="4" t="s">
        <v>23</v>
      </c>
      <c r="B385" s="4" t="s">
        <v>24</v>
      </c>
      <c r="C385" s="4" t="s">
        <v>14</v>
      </c>
      <c r="D385" s="4" t="s">
        <v>30</v>
      </c>
      <c r="E385" s="4" t="s">
        <v>16</v>
      </c>
    </row>
    <row r="386" spans="1:5" ht="14.25" customHeight="1" x14ac:dyDescent="0.3">
      <c r="A386" s="4" t="s">
        <v>34</v>
      </c>
      <c r="B386" s="4" t="s">
        <v>35</v>
      </c>
      <c r="C386" s="4" t="s">
        <v>14</v>
      </c>
      <c r="D386" s="4" t="s">
        <v>30</v>
      </c>
      <c r="E386" s="4" t="s">
        <v>16</v>
      </c>
    </row>
    <row r="387" spans="1:5" ht="14.25" customHeight="1" x14ac:dyDescent="0.3">
      <c r="A387" s="4" t="s">
        <v>34</v>
      </c>
      <c r="B387" s="4" t="s">
        <v>35</v>
      </c>
      <c r="C387" s="4" t="s">
        <v>14</v>
      </c>
      <c r="D387" s="4" t="s">
        <v>29</v>
      </c>
      <c r="E387" s="4" t="s">
        <v>25</v>
      </c>
    </row>
    <row r="388" spans="1:5" ht="14.25" customHeight="1" x14ac:dyDescent="0.3">
      <c r="A388" s="4" t="s">
        <v>56</v>
      </c>
      <c r="B388" s="4" t="s">
        <v>35</v>
      </c>
      <c r="C388" s="4" t="s">
        <v>14</v>
      </c>
      <c r="D388" s="4" t="s">
        <v>29</v>
      </c>
      <c r="E388" s="4" t="s">
        <v>16</v>
      </c>
    </row>
    <row r="389" spans="1:5" ht="14.25" customHeight="1" x14ac:dyDescent="0.3">
      <c r="A389" s="4" t="s">
        <v>44</v>
      </c>
      <c r="B389" s="4" t="s">
        <v>22</v>
      </c>
      <c r="C389" s="4" t="s">
        <v>32</v>
      </c>
      <c r="D389" s="4" t="s">
        <v>36</v>
      </c>
      <c r="E389" s="4" t="s">
        <v>16</v>
      </c>
    </row>
    <row r="390" spans="1:5" ht="14.25" customHeight="1" x14ac:dyDescent="0.3">
      <c r="A390" s="4" t="s">
        <v>21</v>
      </c>
      <c r="B390" s="4" t="s">
        <v>22</v>
      </c>
      <c r="C390" s="4" t="s">
        <v>14</v>
      </c>
      <c r="D390" s="4" t="s">
        <v>15</v>
      </c>
      <c r="E390" s="4" t="s">
        <v>25</v>
      </c>
    </row>
    <row r="391" spans="1:5" ht="14.25" customHeight="1" x14ac:dyDescent="0.3">
      <c r="A391" s="4" t="s">
        <v>56</v>
      </c>
      <c r="B391" s="4" t="s">
        <v>59</v>
      </c>
      <c r="C391" s="4" t="s">
        <v>14</v>
      </c>
      <c r="D391" s="4" t="s">
        <v>29</v>
      </c>
      <c r="E391" s="4" t="s">
        <v>16</v>
      </c>
    </row>
    <row r="392" spans="1:5" ht="14.25" customHeight="1" x14ac:dyDescent="0.3">
      <c r="A392" s="4" t="s">
        <v>21</v>
      </c>
      <c r="B392" s="4" t="s">
        <v>22</v>
      </c>
      <c r="C392" s="4" t="s">
        <v>14</v>
      </c>
      <c r="D392" s="4" t="s">
        <v>20</v>
      </c>
      <c r="E392" s="4" t="s">
        <v>25</v>
      </c>
    </row>
    <row r="393" spans="1:5" ht="14.25" customHeight="1" x14ac:dyDescent="0.3">
      <c r="A393" s="4" t="s">
        <v>17</v>
      </c>
      <c r="B393" s="4" t="s">
        <v>18</v>
      </c>
      <c r="C393" s="4" t="s">
        <v>32</v>
      </c>
      <c r="D393" s="4" t="s">
        <v>20</v>
      </c>
      <c r="E393" s="4" t="s">
        <v>16</v>
      </c>
    </row>
    <row r="394" spans="1:5" ht="14.25" customHeight="1" x14ac:dyDescent="0.3">
      <c r="A394" s="4" t="s">
        <v>17</v>
      </c>
      <c r="B394" s="4" t="s">
        <v>26</v>
      </c>
      <c r="C394" s="4" t="s">
        <v>19</v>
      </c>
      <c r="D394" s="4" t="s">
        <v>20</v>
      </c>
      <c r="E394" s="4" t="s">
        <v>25</v>
      </c>
    </row>
    <row r="395" spans="1:5" ht="14.25" customHeight="1" x14ac:dyDescent="0.3">
      <c r="A395" s="4" t="s">
        <v>44</v>
      </c>
      <c r="B395" s="4" t="s">
        <v>22</v>
      </c>
      <c r="C395" s="4" t="s">
        <v>14</v>
      </c>
      <c r="D395" s="4" t="s">
        <v>40</v>
      </c>
      <c r="E395" s="4" t="s">
        <v>25</v>
      </c>
    </row>
    <row r="396" spans="1:5" ht="14.25" customHeight="1" x14ac:dyDescent="0.3">
      <c r="A396" s="4" t="s">
        <v>46</v>
      </c>
      <c r="B396" s="4" t="s">
        <v>28</v>
      </c>
      <c r="C396" s="4" t="s">
        <v>14</v>
      </c>
      <c r="D396" s="4" t="s">
        <v>30</v>
      </c>
      <c r="E396" s="4" t="s">
        <v>25</v>
      </c>
    </row>
    <row r="397" spans="1:5" ht="14.25" customHeight="1" x14ac:dyDescent="0.3">
      <c r="A397" s="4" t="s">
        <v>44</v>
      </c>
      <c r="B397" s="4" t="s">
        <v>22</v>
      </c>
      <c r="C397" s="4" t="s">
        <v>14</v>
      </c>
      <c r="D397" s="4" t="s">
        <v>36</v>
      </c>
      <c r="E397" s="4" t="s">
        <v>25</v>
      </c>
    </row>
    <row r="398" spans="1:5" ht="14.25" customHeight="1" x14ac:dyDescent="0.3">
      <c r="A398" s="4" t="s">
        <v>21</v>
      </c>
      <c r="B398" s="4" t="s">
        <v>22</v>
      </c>
      <c r="C398" s="4" t="s">
        <v>32</v>
      </c>
      <c r="D398" s="4" t="s">
        <v>20</v>
      </c>
      <c r="E398" s="4" t="s">
        <v>16</v>
      </c>
    </row>
    <row r="399" spans="1:5" ht="14.25" customHeight="1" x14ac:dyDescent="0.3">
      <c r="A399" s="4" t="s">
        <v>23</v>
      </c>
      <c r="B399" s="4" t="s">
        <v>26</v>
      </c>
      <c r="C399" s="4" t="s">
        <v>14</v>
      </c>
      <c r="D399" s="4" t="s">
        <v>30</v>
      </c>
      <c r="E399" s="4" t="s">
        <v>16</v>
      </c>
    </row>
    <row r="400" spans="1:5" ht="14.25" customHeight="1" x14ac:dyDescent="0.3">
      <c r="A400" s="4" t="s">
        <v>60</v>
      </c>
      <c r="B400" s="4" t="s">
        <v>35</v>
      </c>
      <c r="C400" s="4" t="s">
        <v>32</v>
      </c>
      <c r="D400" s="4" t="s">
        <v>33</v>
      </c>
      <c r="E400" s="4" t="s">
        <v>25</v>
      </c>
    </row>
    <row r="401" spans="1:5" ht="14.25" customHeight="1" x14ac:dyDescent="0.3">
      <c r="A401" s="4" t="s">
        <v>21</v>
      </c>
      <c r="B401" s="4" t="s">
        <v>22</v>
      </c>
      <c r="C401" s="4" t="s">
        <v>14</v>
      </c>
      <c r="D401" s="4" t="s">
        <v>30</v>
      </c>
      <c r="E401" s="4" t="s">
        <v>16</v>
      </c>
    </row>
    <row r="402" spans="1:5" ht="14.25" customHeight="1" x14ac:dyDescent="0.3">
      <c r="A402" s="4" t="s">
        <v>27</v>
      </c>
      <c r="B402" s="4" t="s">
        <v>28</v>
      </c>
      <c r="C402" s="4" t="s">
        <v>32</v>
      </c>
      <c r="D402" s="4" t="s">
        <v>33</v>
      </c>
      <c r="E402" s="4" t="s">
        <v>16</v>
      </c>
    </row>
    <row r="403" spans="1:5" ht="14.25" customHeight="1" x14ac:dyDescent="0.3">
      <c r="A403" s="4" t="s">
        <v>21</v>
      </c>
      <c r="B403" s="4" t="s">
        <v>22</v>
      </c>
      <c r="C403" s="4" t="s">
        <v>14</v>
      </c>
      <c r="D403" s="4" t="s">
        <v>33</v>
      </c>
      <c r="E403" s="4" t="s">
        <v>25</v>
      </c>
    </row>
    <row r="404" spans="1:5" ht="14.25" customHeight="1" x14ac:dyDescent="0.3">
      <c r="A404" s="4" t="s">
        <v>54</v>
      </c>
      <c r="B404" s="4" t="s">
        <v>48</v>
      </c>
      <c r="C404" s="4" t="s">
        <v>14</v>
      </c>
      <c r="D404" s="4" t="s">
        <v>15</v>
      </c>
      <c r="E404" s="4" t="s">
        <v>25</v>
      </c>
    </row>
    <row r="405" spans="1:5" ht="14.25" customHeight="1" x14ac:dyDescent="0.3">
      <c r="A405" s="4" t="s">
        <v>27</v>
      </c>
      <c r="B405" s="4" t="s">
        <v>28</v>
      </c>
      <c r="C405" s="4" t="s">
        <v>14</v>
      </c>
      <c r="D405" s="4" t="s">
        <v>29</v>
      </c>
      <c r="E405" s="4" t="s">
        <v>25</v>
      </c>
    </row>
    <row r="406" spans="1:5" ht="14.25" customHeight="1" x14ac:dyDescent="0.3">
      <c r="A406" s="4" t="s">
        <v>27</v>
      </c>
      <c r="B406" s="4" t="s">
        <v>28</v>
      </c>
      <c r="C406" s="4" t="s">
        <v>14</v>
      </c>
      <c r="D406" s="4" t="s">
        <v>15</v>
      </c>
      <c r="E406" s="4" t="s">
        <v>16</v>
      </c>
    </row>
    <row r="407" spans="1:5" ht="14.25" customHeight="1" x14ac:dyDescent="0.3">
      <c r="A407" s="4" t="s">
        <v>44</v>
      </c>
      <c r="B407" s="4" t="s">
        <v>22</v>
      </c>
      <c r="C407" s="4" t="s">
        <v>19</v>
      </c>
      <c r="D407" s="4" t="s">
        <v>36</v>
      </c>
      <c r="E407" s="4" t="s">
        <v>25</v>
      </c>
    </row>
    <row r="408" spans="1:5" ht="14.25" customHeight="1" x14ac:dyDescent="0.3">
      <c r="A408" s="4" t="s">
        <v>21</v>
      </c>
      <c r="B408" s="4" t="s">
        <v>22</v>
      </c>
      <c r="C408" s="4" t="s">
        <v>14</v>
      </c>
      <c r="D408" s="4" t="s">
        <v>15</v>
      </c>
      <c r="E408" s="4" t="s">
        <v>25</v>
      </c>
    </row>
    <row r="409" spans="1:5" ht="14.25" customHeight="1" x14ac:dyDescent="0.3">
      <c r="A409" s="4" t="s">
        <v>23</v>
      </c>
      <c r="B409" s="4" t="s">
        <v>28</v>
      </c>
      <c r="C409" s="4" t="s">
        <v>32</v>
      </c>
      <c r="D409" s="4" t="s">
        <v>15</v>
      </c>
      <c r="E409" s="4" t="s">
        <v>16</v>
      </c>
    </row>
    <row r="410" spans="1:5" ht="14.25" customHeight="1" x14ac:dyDescent="0.3">
      <c r="A410" s="4" t="s">
        <v>27</v>
      </c>
      <c r="B410" s="4" t="s">
        <v>28</v>
      </c>
      <c r="C410" s="4" t="s">
        <v>14</v>
      </c>
      <c r="D410" s="4" t="s">
        <v>29</v>
      </c>
      <c r="E410" s="4" t="s">
        <v>16</v>
      </c>
    </row>
    <row r="411" spans="1:5" ht="14.25" customHeight="1" x14ac:dyDescent="0.3">
      <c r="A411" s="4" t="s">
        <v>12</v>
      </c>
      <c r="B411" s="4" t="s">
        <v>26</v>
      </c>
      <c r="C411" s="4" t="s">
        <v>14</v>
      </c>
      <c r="D411" s="4" t="s">
        <v>29</v>
      </c>
      <c r="E411" s="4" t="s">
        <v>16</v>
      </c>
    </row>
    <row r="412" spans="1:5" ht="14.25" customHeight="1" x14ac:dyDescent="0.3">
      <c r="A412" s="4" t="s">
        <v>53</v>
      </c>
      <c r="B412" s="4" t="s">
        <v>22</v>
      </c>
      <c r="C412" s="4" t="s">
        <v>19</v>
      </c>
      <c r="D412" s="4" t="s">
        <v>20</v>
      </c>
      <c r="E412" s="4" t="s">
        <v>16</v>
      </c>
    </row>
    <row r="413" spans="1:5" ht="14.25" customHeight="1" x14ac:dyDescent="0.3">
      <c r="A413" s="4" t="s">
        <v>27</v>
      </c>
      <c r="B413" s="4" t="s">
        <v>28</v>
      </c>
      <c r="C413" s="4" t="s">
        <v>32</v>
      </c>
      <c r="D413" s="4" t="s">
        <v>33</v>
      </c>
      <c r="E413" s="4" t="s">
        <v>16</v>
      </c>
    </row>
    <row r="414" spans="1:5" ht="14.25" customHeight="1" x14ac:dyDescent="0.3">
      <c r="A414" s="4" t="s">
        <v>47</v>
      </c>
      <c r="B414" s="4" t="s">
        <v>28</v>
      </c>
      <c r="C414" s="4" t="s">
        <v>14</v>
      </c>
      <c r="D414" s="4" t="s">
        <v>15</v>
      </c>
      <c r="E414" s="4" t="s">
        <v>25</v>
      </c>
    </row>
    <row r="415" spans="1:5" ht="14.25" customHeight="1" x14ac:dyDescent="0.3">
      <c r="A415" s="4" t="s">
        <v>21</v>
      </c>
      <c r="B415" s="4" t="s">
        <v>22</v>
      </c>
      <c r="C415" s="4" t="s">
        <v>14</v>
      </c>
      <c r="D415" s="4" t="s">
        <v>15</v>
      </c>
      <c r="E415" s="4" t="s">
        <v>16</v>
      </c>
    </row>
    <row r="416" spans="1:5" ht="14.25" customHeight="1" x14ac:dyDescent="0.3">
      <c r="A416" s="4" t="s">
        <v>27</v>
      </c>
      <c r="B416" s="4" t="s">
        <v>28</v>
      </c>
      <c r="C416" s="4" t="s">
        <v>14</v>
      </c>
      <c r="D416" s="4" t="s">
        <v>29</v>
      </c>
      <c r="E416" s="4" t="s">
        <v>16</v>
      </c>
    </row>
    <row r="417" spans="1:5" ht="14.25" customHeight="1" x14ac:dyDescent="0.3">
      <c r="A417" s="4" t="s">
        <v>23</v>
      </c>
      <c r="B417" s="4" t="s">
        <v>35</v>
      </c>
      <c r="C417" s="4" t="s">
        <v>14</v>
      </c>
      <c r="D417" s="4" t="s">
        <v>20</v>
      </c>
      <c r="E417" s="4" t="s">
        <v>25</v>
      </c>
    </row>
    <row r="418" spans="1:5" ht="14.25" customHeight="1" x14ac:dyDescent="0.3">
      <c r="A418" s="4" t="s">
        <v>34</v>
      </c>
      <c r="B418" s="4" t="s">
        <v>61</v>
      </c>
      <c r="C418" s="4" t="s">
        <v>14</v>
      </c>
      <c r="D418" s="4" t="s">
        <v>15</v>
      </c>
      <c r="E418" s="4" t="s">
        <v>16</v>
      </c>
    </row>
    <row r="419" spans="1:5" ht="14.25" customHeight="1" x14ac:dyDescent="0.3">
      <c r="A419" s="4" t="s">
        <v>55</v>
      </c>
      <c r="B419" s="4" t="s">
        <v>13</v>
      </c>
      <c r="C419" s="4" t="s">
        <v>14</v>
      </c>
      <c r="D419" s="4" t="s">
        <v>30</v>
      </c>
      <c r="E419" s="4" t="s">
        <v>25</v>
      </c>
    </row>
    <row r="420" spans="1:5" ht="14.25" customHeight="1" x14ac:dyDescent="0.3">
      <c r="A420" s="4" t="s">
        <v>54</v>
      </c>
      <c r="B420" s="4" t="s">
        <v>48</v>
      </c>
      <c r="C420" s="4" t="s">
        <v>14</v>
      </c>
      <c r="D420" s="4" t="s">
        <v>30</v>
      </c>
      <c r="E420" s="4" t="s">
        <v>25</v>
      </c>
    </row>
    <row r="421" spans="1:5" ht="14.25" customHeight="1" x14ac:dyDescent="0.3">
      <c r="A421" s="4" t="s">
        <v>27</v>
      </c>
      <c r="B421" s="4" t="s">
        <v>28</v>
      </c>
      <c r="C421" s="4" t="s">
        <v>14</v>
      </c>
      <c r="D421" s="4" t="s">
        <v>29</v>
      </c>
      <c r="E421" s="4" t="s">
        <v>25</v>
      </c>
    </row>
    <row r="422" spans="1:5" ht="14.25" customHeight="1" x14ac:dyDescent="0.3">
      <c r="A422" s="4" t="s">
        <v>21</v>
      </c>
      <c r="B422" s="4" t="s">
        <v>22</v>
      </c>
      <c r="C422" s="4" t="s">
        <v>14</v>
      </c>
      <c r="D422" s="4" t="s">
        <v>15</v>
      </c>
      <c r="E422" s="4" t="s">
        <v>25</v>
      </c>
    </row>
    <row r="423" spans="1:5" ht="14.25" customHeight="1" x14ac:dyDescent="0.3">
      <c r="A423" s="4" t="s">
        <v>21</v>
      </c>
      <c r="B423" s="4" t="s">
        <v>22</v>
      </c>
      <c r="C423" s="4" t="s">
        <v>14</v>
      </c>
      <c r="D423" s="4" t="s">
        <v>30</v>
      </c>
      <c r="E423" s="4" t="s">
        <v>16</v>
      </c>
    </row>
    <row r="424" spans="1:5" ht="14.25" customHeight="1" x14ac:dyDescent="0.3">
      <c r="A424" s="4" t="s">
        <v>52</v>
      </c>
      <c r="B424" s="4" t="s">
        <v>28</v>
      </c>
      <c r="C424" s="4" t="s">
        <v>14</v>
      </c>
      <c r="D424" s="4" t="s">
        <v>20</v>
      </c>
      <c r="E424" s="4" t="s">
        <v>16</v>
      </c>
    </row>
    <row r="425" spans="1:5" ht="14.25" customHeight="1" x14ac:dyDescent="0.3">
      <c r="A425" s="4" t="s">
        <v>47</v>
      </c>
      <c r="B425" s="4" t="s">
        <v>28</v>
      </c>
      <c r="C425" s="4" t="s">
        <v>14</v>
      </c>
      <c r="D425" s="4" t="s">
        <v>15</v>
      </c>
      <c r="E425" s="4" t="s">
        <v>16</v>
      </c>
    </row>
    <row r="426" spans="1:5" ht="14.25" customHeight="1" x14ac:dyDescent="0.3">
      <c r="A426" s="4" t="s">
        <v>21</v>
      </c>
      <c r="B426" s="4" t="s">
        <v>31</v>
      </c>
      <c r="C426" s="4" t="s">
        <v>14</v>
      </c>
      <c r="D426" s="4" t="s">
        <v>15</v>
      </c>
      <c r="E426" s="4" t="s">
        <v>25</v>
      </c>
    </row>
    <row r="427" spans="1:5" ht="14.25" customHeight="1" x14ac:dyDescent="0.3">
      <c r="A427" s="4" t="s">
        <v>41</v>
      </c>
      <c r="B427" s="4" t="s">
        <v>24</v>
      </c>
      <c r="C427" s="4" t="s">
        <v>14</v>
      </c>
      <c r="D427" s="4" t="s">
        <v>15</v>
      </c>
      <c r="E427" s="4" t="s">
        <v>25</v>
      </c>
    </row>
    <row r="428" spans="1:5" ht="14.25" customHeight="1" x14ac:dyDescent="0.3">
      <c r="A428" s="4" t="s">
        <v>42</v>
      </c>
      <c r="B428" s="4" t="s">
        <v>26</v>
      </c>
      <c r="C428" s="4" t="s">
        <v>32</v>
      </c>
      <c r="D428" s="4" t="s">
        <v>30</v>
      </c>
      <c r="E428" s="4" t="s">
        <v>16</v>
      </c>
    </row>
    <row r="429" spans="1:5" ht="14.25" customHeight="1" x14ac:dyDescent="0.3">
      <c r="A429" s="4" t="s">
        <v>44</v>
      </c>
      <c r="B429" s="4" t="s">
        <v>28</v>
      </c>
      <c r="C429" s="4" t="s">
        <v>32</v>
      </c>
      <c r="D429" s="4" t="s">
        <v>20</v>
      </c>
      <c r="E429" s="4" t="s">
        <v>16</v>
      </c>
    </row>
    <row r="430" spans="1:5" ht="14.25" customHeight="1" x14ac:dyDescent="0.3">
      <c r="A430" s="4" t="s">
        <v>23</v>
      </c>
      <c r="B430" s="4" t="s">
        <v>26</v>
      </c>
      <c r="C430" s="4" t="s">
        <v>14</v>
      </c>
      <c r="D430" s="4" t="s">
        <v>15</v>
      </c>
      <c r="E430" s="4" t="s">
        <v>16</v>
      </c>
    </row>
    <row r="431" spans="1:5" ht="14.25" customHeight="1" x14ac:dyDescent="0.3">
      <c r="A431" s="4" t="s">
        <v>46</v>
      </c>
      <c r="B431" s="4" t="s">
        <v>28</v>
      </c>
      <c r="C431" s="4" t="s">
        <v>14</v>
      </c>
      <c r="D431" s="4" t="s">
        <v>15</v>
      </c>
      <c r="E431" s="4" t="s">
        <v>25</v>
      </c>
    </row>
    <row r="432" spans="1:5" ht="14.25" customHeight="1" x14ac:dyDescent="0.3">
      <c r="A432" s="4" t="s">
        <v>44</v>
      </c>
      <c r="B432" s="4" t="s">
        <v>22</v>
      </c>
      <c r="C432" s="4" t="s">
        <v>14</v>
      </c>
      <c r="D432" s="4" t="s">
        <v>33</v>
      </c>
      <c r="E432" s="4" t="s">
        <v>16</v>
      </c>
    </row>
    <row r="433" spans="1:5" ht="14.25" customHeight="1" x14ac:dyDescent="0.3">
      <c r="A433" s="4" t="s">
        <v>27</v>
      </c>
      <c r="B433" s="4" t="s">
        <v>28</v>
      </c>
      <c r="C433" s="4" t="s">
        <v>14</v>
      </c>
      <c r="D433" s="4" t="s">
        <v>29</v>
      </c>
      <c r="E433" s="4" t="s">
        <v>16</v>
      </c>
    </row>
    <row r="434" spans="1:5" ht="14.25" customHeight="1" x14ac:dyDescent="0.3">
      <c r="A434" s="4" t="s">
        <v>21</v>
      </c>
      <c r="B434" s="4" t="s">
        <v>22</v>
      </c>
      <c r="C434" s="4" t="s">
        <v>14</v>
      </c>
      <c r="D434" s="4" t="s">
        <v>20</v>
      </c>
      <c r="E434" s="4" t="s">
        <v>25</v>
      </c>
    </row>
    <row r="435" spans="1:5" ht="14.25" customHeight="1" x14ac:dyDescent="0.3">
      <c r="A435" s="4" t="s">
        <v>23</v>
      </c>
      <c r="B435" s="4" t="s">
        <v>26</v>
      </c>
      <c r="C435" s="4" t="s">
        <v>14</v>
      </c>
      <c r="D435" s="4" t="s">
        <v>15</v>
      </c>
      <c r="E435" s="4" t="s">
        <v>16</v>
      </c>
    </row>
    <row r="436" spans="1:5" ht="14.25" customHeight="1" x14ac:dyDescent="0.3">
      <c r="A436" s="4" t="s">
        <v>23</v>
      </c>
      <c r="B436" s="4" t="s">
        <v>39</v>
      </c>
      <c r="C436" s="4" t="s">
        <v>14</v>
      </c>
      <c r="D436" s="4" t="s">
        <v>30</v>
      </c>
      <c r="E436" s="4" t="s">
        <v>16</v>
      </c>
    </row>
    <row r="437" spans="1:5" ht="14.25" customHeight="1" x14ac:dyDescent="0.3">
      <c r="A437" s="4" t="s">
        <v>23</v>
      </c>
      <c r="B437" s="4" t="s">
        <v>26</v>
      </c>
      <c r="C437" s="4" t="s">
        <v>14</v>
      </c>
      <c r="D437" s="4" t="s">
        <v>15</v>
      </c>
      <c r="E437" s="4" t="s">
        <v>25</v>
      </c>
    </row>
    <row r="438" spans="1:5" ht="14.25" customHeight="1" x14ac:dyDescent="0.3">
      <c r="A438" s="4" t="s">
        <v>27</v>
      </c>
      <c r="B438" s="4" t="s">
        <v>28</v>
      </c>
      <c r="C438" s="4" t="s">
        <v>14</v>
      </c>
      <c r="D438" s="4" t="s">
        <v>29</v>
      </c>
      <c r="E438" s="4" t="s">
        <v>16</v>
      </c>
    </row>
    <row r="439" spans="1:5" ht="14.25" customHeight="1" x14ac:dyDescent="0.3">
      <c r="A439" s="4" t="s">
        <v>27</v>
      </c>
      <c r="B439" s="4" t="s">
        <v>28</v>
      </c>
      <c r="C439" s="4" t="s">
        <v>14</v>
      </c>
      <c r="D439" s="4" t="s">
        <v>29</v>
      </c>
      <c r="E439" s="4" t="s">
        <v>16</v>
      </c>
    </row>
    <row r="440" spans="1:5" ht="14.25" customHeight="1" x14ac:dyDescent="0.3">
      <c r="A440" s="4" t="s">
        <v>44</v>
      </c>
      <c r="B440" s="4" t="s">
        <v>22</v>
      </c>
      <c r="C440" s="4" t="s">
        <v>14</v>
      </c>
      <c r="D440" s="4" t="s">
        <v>20</v>
      </c>
      <c r="E440" s="4" t="s">
        <v>16</v>
      </c>
    </row>
    <row r="441" spans="1:5" ht="14.25" customHeight="1" x14ac:dyDescent="0.3">
      <c r="A441" s="4" t="s">
        <v>23</v>
      </c>
      <c r="B441" s="4" t="s">
        <v>26</v>
      </c>
      <c r="C441" s="4" t="s">
        <v>32</v>
      </c>
      <c r="D441" s="4" t="s">
        <v>15</v>
      </c>
      <c r="E441" s="4" t="s">
        <v>25</v>
      </c>
    </row>
    <row r="442" spans="1:5" ht="14.25" customHeight="1" x14ac:dyDescent="0.3">
      <c r="A442" s="4" t="s">
        <v>55</v>
      </c>
      <c r="B442" s="4" t="s">
        <v>13</v>
      </c>
      <c r="C442" s="4" t="s">
        <v>14</v>
      </c>
      <c r="D442" s="4" t="s">
        <v>20</v>
      </c>
      <c r="E442" s="4" t="s">
        <v>16</v>
      </c>
    </row>
    <row r="443" spans="1:5" ht="14.25" customHeight="1" x14ac:dyDescent="0.3">
      <c r="A443" s="4" t="s">
        <v>21</v>
      </c>
      <c r="B443" s="4" t="s">
        <v>22</v>
      </c>
      <c r="C443" s="4" t="s">
        <v>14</v>
      </c>
      <c r="D443" s="4" t="s">
        <v>20</v>
      </c>
      <c r="E443" s="4" t="s">
        <v>25</v>
      </c>
    </row>
    <row r="444" spans="1:5" ht="14.25" customHeight="1" x14ac:dyDescent="0.3">
      <c r="A444" s="4" t="s">
        <v>27</v>
      </c>
      <c r="B444" s="4" t="s">
        <v>28</v>
      </c>
      <c r="C444" s="4" t="s">
        <v>14</v>
      </c>
      <c r="D444" s="4" t="s">
        <v>29</v>
      </c>
      <c r="E444" s="4" t="s">
        <v>16</v>
      </c>
    </row>
    <row r="445" spans="1:5" ht="14.25" customHeight="1" x14ac:dyDescent="0.3">
      <c r="A445" s="4" t="s">
        <v>21</v>
      </c>
      <c r="B445" s="4" t="s">
        <v>35</v>
      </c>
      <c r="C445" s="4" t="s">
        <v>14</v>
      </c>
      <c r="D445" s="4" t="s">
        <v>30</v>
      </c>
      <c r="E445" s="4" t="s">
        <v>25</v>
      </c>
    </row>
    <row r="446" spans="1:5" ht="14.25" customHeight="1" x14ac:dyDescent="0.3">
      <c r="A446" s="4" t="s">
        <v>23</v>
      </c>
      <c r="B446" s="4" t="s">
        <v>24</v>
      </c>
      <c r="C446" s="4" t="s">
        <v>14</v>
      </c>
      <c r="D446" s="4" t="s">
        <v>15</v>
      </c>
      <c r="E446" s="4" t="s">
        <v>16</v>
      </c>
    </row>
    <row r="447" spans="1:5" ht="14.25" customHeight="1" x14ac:dyDescent="0.3">
      <c r="A447" s="4" t="s">
        <v>23</v>
      </c>
      <c r="B447" s="4" t="s">
        <v>28</v>
      </c>
      <c r="C447" s="4" t="s">
        <v>14</v>
      </c>
      <c r="D447" s="4" t="s">
        <v>29</v>
      </c>
      <c r="E447" s="4" t="s">
        <v>25</v>
      </c>
    </row>
    <row r="448" spans="1:5" ht="14.25" customHeight="1" x14ac:dyDescent="0.3">
      <c r="A448" s="4" t="s">
        <v>17</v>
      </c>
      <c r="B448" s="4" t="s">
        <v>26</v>
      </c>
      <c r="C448" s="4" t="s">
        <v>14</v>
      </c>
      <c r="D448" s="4" t="s">
        <v>20</v>
      </c>
      <c r="E448" s="4" t="s">
        <v>25</v>
      </c>
    </row>
    <row r="449" spans="1:5" ht="14.25" customHeight="1" x14ac:dyDescent="0.3">
      <c r="A449" s="4" t="s">
        <v>21</v>
      </c>
      <c r="B449" s="4" t="s">
        <v>22</v>
      </c>
      <c r="C449" s="4" t="s">
        <v>14</v>
      </c>
      <c r="D449" s="4" t="s">
        <v>33</v>
      </c>
      <c r="E449" s="4" t="s">
        <v>25</v>
      </c>
    </row>
    <row r="450" spans="1:5" ht="14.25" customHeight="1" x14ac:dyDescent="0.3">
      <c r="A450" s="4" t="s">
        <v>34</v>
      </c>
      <c r="B450" s="4" t="s">
        <v>35</v>
      </c>
      <c r="C450" s="4" t="s">
        <v>19</v>
      </c>
      <c r="D450" s="4" t="s">
        <v>29</v>
      </c>
      <c r="E450" s="4" t="s">
        <v>16</v>
      </c>
    </row>
    <row r="451" spans="1:5" ht="14.25" customHeight="1" x14ac:dyDescent="0.3">
      <c r="A451" s="4" t="s">
        <v>27</v>
      </c>
      <c r="B451" s="4" t="s">
        <v>28</v>
      </c>
      <c r="C451" s="4" t="s">
        <v>14</v>
      </c>
      <c r="D451" s="4" t="s">
        <v>29</v>
      </c>
      <c r="E451" s="4" t="s">
        <v>16</v>
      </c>
    </row>
    <row r="452" spans="1:5" ht="14.25" customHeight="1" x14ac:dyDescent="0.3">
      <c r="A452" s="4" t="s">
        <v>27</v>
      </c>
      <c r="B452" s="4" t="s">
        <v>28</v>
      </c>
      <c r="C452" s="4" t="s">
        <v>14</v>
      </c>
      <c r="D452" s="4" t="s">
        <v>30</v>
      </c>
      <c r="E452" s="4" t="s">
        <v>16</v>
      </c>
    </row>
    <row r="453" spans="1:5" ht="14.25" customHeight="1" x14ac:dyDescent="0.3">
      <c r="A453" s="4" t="s">
        <v>23</v>
      </c>
      <c r="B453" s="4" t="s">
        <v>26</v>
      </c>
      <c r="C453" s="4" t="s">
        <v>14</v>
      </c>
      <c r="D453" s="4" t="s">
        <v>20</v>
      </c>
      <c r="E453" s="4" t="s">
        <v>16</v>
      </c>
    </row>
    <row r="454" spans="1:5" ht="14.25" customHeight="1" x14ac:dyDescent="0.3">
      <c r="A454" s="4" t="s">
        <v>34</v>
      </c>
      <c r="B454" s="4" t="s">
        <v>35</v>
      </c>
      <c r="C454" s="4" t="s">
        <v>14</v>
      </c>
      <c r="D454" s="4" t="s">
        <v>30</v>
      </c>
      <c r="E454" s="4" t="s">
        <v>16</v>
      </c>
    </row>
    <row r="455" spans="1:5" ht="14.25" customHeight="1" x14ac:dyDescent="0.3">
      <c r="A455" s="4" t="s">
        <v>17</v>
      </c>
      <c r="B455" s="4" t="s">
        <v>26</v>
      </c>
      <c r="C455" s="4" t="s">
        <v>32</v>
      </c>
      <c r="D455" s="4" t="s">
        <v>40</v>
      </c>
      <c r="E455" s="4" t="s">
        <v>16</v>
      </c>
    </row>
    <row r="456" spans="1:5" ht="14.25" customHeight="1" x14ac:dyDescent="0.3">
      <c r="A456" s="4" t="s">
        <v>21</v>
      </c>
      <c r="B456" s="4" t="s">
        <v>22</v>
      </c>
      <c r="C456" s="4" t="s">
        <v>14</v>
      </c>
      <c r="D456" s="4" t="s">
        <v>33</v>
      </c>
      <c r="E456" s="4" t="s">
        <v>16</v>
      </c>
    </row>
    <row r="457" spans="1:5" ht="14.25" customHeight="1" x14ac:dyDescent="0.3">
      <c r="A457" s="4" t="s">
        <v>54</v>
      </c>
      <c r="B457" s="4" t="s">
        <v>48</v>
      </c>
      <c r="C457" s="4" t="s">
        <v>14</v>
      </c>
      <c r="D457" s="4" t="s">
        <v>15</v>
      </c>
      <c r="E457" s="4" t="s">
        <v>16</v>
      </c>
    </row>
    <row r="458" spans="1:5" ht="14.25" customHeight="1" x14ac:dyDescent="0.3">
      <c r="A458" s="4" t="s">
        <v>17</v>
      </c>
      <c r="B458" s="4" t="s">
        <v>26</v>
      </c>
      <c r="C458" s="4" t="s">
        <v>32</v>
      </c>
      <c r="D458" s="4" t="s">
        <v>33</v>
      </c>
      <c r="E458" s="4" t="s">
        <v>25</v>
      </c>
    </row>
    <row r="459" spans="1:5" ht="14.25" customHeight="1" x14ac:dyDescent="0.3">
      <c r="A459" s="4" t="s">
        <v>46</v>
      </c>
      <c r="B459" s="4" t="s">
        <v>28</v>
      </c>
      <c r="C459" s="4" t="s">
        <v>14</v>
      </c>
      <c r="D459" s="4" t="s">
        <v>15</v>
      </c>
      <c r="E459" s="4" t="s">
        <v>25</v>
      </c>
    </row>
    <row r="460" spans="1:5" ht="14.25" customHeight="1" x14ac:dyDescent="0.3">
      <c r="A460" s="4" t="s">
        <v>21</v>
      </c>
      <c r="B460" s="4" t="s">
        <v>26</v>
      </c>
      <c r="C460" s="4" t="s">
        <v>14</v>
      </c>
      <c r="D460" s="4" t="s">
        <v>15</v>
      </c>
      <c r="E460" s="4" t="s">
        <v>25</v>
      </c>
    </row>
    <row r="461" spans="1:5" ht="14.25" customHeight="1" x14ac:dyDescent="0.3">
      <c r="A461" s="4" t="s">
        <v>23</v>
      </c>
      <c r="B461" s="4" t="s">
        <v>26</v>
      </c>
      <c r="C461" s="4" t="s">
        <v>14</v>
      </c>
      <c r="D461" s="4" t="s">
        <v>15</v>
      </c>
      <c r="E461" s="4" t="s">
        <v>25</v>
      </c>
    </row>
    <row r="462" spans="1:5" ht="14.25" customHeight="1" x14ac:dyDescent="0.3">
      <c r="A462" s="4" t="s">
        <v>21</v>
      </c>
      <c r="B462" s="4" t="s">
        <v>26</v>
      </c>
      <c r="C462" s="4" t="s">
        <v>14</v>
      </c>
      <c r="D462" s="4" t="s">
        <v>15</v>
      </c>
      <c r="E462" s="4" t="s">
        <v>25</v>
      </c>
    </row>
    <row r="463" spans="1:5" ht="14.25" customHeight="1" x14ac:dyDescent="0.3">
      <c r="A463" s="4" t="s">
        <v>21</v>
      </c>
      <c r="B463" s="4" t="s">
        <v>22</v>
      </c>
      <c r="C463" s="4" t="s">
        <v>14</v>
      </c>
      <c r="D463" s="4" t="s">
        <v>15</v>
      </c>
      <c r="E463" s="4" t="s">
        <v>25</v>
      </c>
    </row>
    <row r="464" spans="1:5" ht="14.25" customHeight="1" x14ac:dyDescent="0.3">
      <c r="A464" s="4" t="s">
        <v>27</v>
      </c>
      <c r="B464" s="4" t="s">
        <v>35</v>
      </c>
      <c r="C464" s="4" t="s">
        <v>14</v>
      </c>
      <c r="D464" s="4" t="s">
        <v>30</v>
      </c>
      <c r="E464" s="4" t="s">
        <v>16</v>
      </c>
    </row>
    <row r="465" spans="1:5" ht="14.25" customHeight="1" x14ac:dyDescent="0.3">
      <c r="A465" s="4" t="s">
        <v>21</v>
      </c>
      <c r="B465" s="4" t="s">
        <v>22</v>
      </c>
      <c r="C465" s="4" t="s">
        <v>14</v>
      </c>
      <c r="D465" s="4" t="s">
        <v>20</v>
      </c>
      <c r="E465" s="4" t="s">
        <v>16</v>
      </c>
    </row>
    <row r="466" spans="1:5" ht="14.25" customHeight="1" x14ac:dyDescent="0.3">
      <c r="A466" s="4" t="s">
        <v>21</v>
      </c>
      <c r="B466" s="4" t="s">
        <v>22</v>
      </c>
      <c r="C466" s="4" t="s">
        <v>14</v>
      </c>
      <c r="D466" s="4" t="s">
        <v>20</v>
      </c>
      <c r="E466" s="4" t="s">
        <v>25</v>
      </c>
    </row>
    <row r="467" spans="1:5" ht="14.25" customHeight="1" x14ac:dyDescent="0.3">
      <c r="A467" s="4" t="s">
        <v>21</v>
      </c>
      <c r="B467" s="4" t="s">
        <v>22</v>
      </c>
      <c r="C467" s="4" t="s">
        <v>14</v>
      </c>
      <c r="D467" s="4" t="s">
        <v>30</v>
      </c>
      <c r="E467" s="4" t="s">
        <v>25</v>
      </c>
    </row>
    <row r="468" spans="1:5" ht="14.25" customHeight="1" x14ac:dyDescent="0.3">
      <c r="A468" s="4" t="s">
        <v>34</v>
      </c>
      <c r="B468" s="4" t="s">
        <v>35</v>
      </c>
      <c r="C468" s="4" t="s">
        <v>14</v>
      </c>
      <c r="D468" s="4" t="s">
        <v>15</v>
      </c>
      <c r="E468" s="4" t="s">
        <v>25</v>
      </c>
    </row>
    <row r="469" spans="1:5" ht="14.25" customHeight="1" x14ac:dyDescent="0.3">
      <c r="A469" s="4" t="s">
        <v>17</v>
      </c>
      <c r="B469" s="4" t="s">
        <v>31</v>
      </c>
      <c r="C469" s="4" t="s">
        <v>32</v>
      </c>
      <c r="D469" s="4" t="s">
        <v>33</v>
      </c>
      <c r="E469" s="4" t="s">
        <v>25</v>
      </c>
    </row>
    <row r="470" spans="1:5" ht="14.25" customHeight="1" x14ac:dyDescent="0.3">
      <c r="A470" s="4" t="s">
        <v>21</v>
      </c>
      <c r="B470" s="4" t="s">
        <v>26</v>
      </c>
      <c r="C470" s="4" t="s">
        <v>14</v>
      </c>
      <c r="D470" s="4" t="s">
        <v>20</v>
      </c>
      <c r="E470" s="4" t="s">
        <v>25</v>
      </c>
    </row>
    <row r="471" spans="1:5" ht="14.25" customHeight="1" x14ac:dyDescent="0.3">
      <c r="A471" s="4" t="s">
        <v>17</v>
      </c>
      <c r="B471" s="4" t="s">
        <v>18</v>
      </c>
      <c r="C471" s="4" t="s">
        <v>14</v>
      </c>
      <c r="D471" s="4" t="s">
        <v>20</v>
      </c>
      <c r="E471" s="4" t="s">
        <v>25</v>
      </c>
    </row>
    <row r="472" spans="1:5" ht="14.25" customHeight="1" x14ac:dyDescent="0.3">
      <c r="A472" s="4" t="s">
        <v>21</v>
      </c>
      <c r="B472" s="4" t="s">
        <v>22</v>
      </c>
      <c r="C472" s="4" t="s">
        <v>14</v>
      </c>
      <c r="D472" s="4" t="s">
        <v>20</v>
      </c>
      <c r="E472" s="4" t="s">
        <v>25</v>
      </c>
    </row>
    <row r="473" spans="1:5" ht="14.25" customHeight="1" x14ac:dyDescent="0.3">
      <c r="A473" s="4" t="s">
        <v>41</v>
      </c>
      <c r="B473" s="4" t="s">
        <v>24</v>
      </c>
      <c r="C473" s="4" t="s">
        <v>14</v>
      </c>
      <c r="D473" s="4" t="s">
        <v>15</v>
      </c>
      <c r="E473" s="4" t="s">
        <v>25</v>
      </c>
    </row>
    <row r="474" spans="1:5" ht="14.25" customHeight="1" x14ac:dyDescent="0.3">
      <c r="A474" s="4" t="s">
        <v>58</v>
      </c>
      <c r="B474" s="4" t="s">
        <v>22</v>
      </c>
      <c r="C474" s="4" t="s">
        <v>14</v>
      </c>
      <c r="D474" s="4" t="s">
        <v>15</v>
      </c>
      <c r="E474" s="4" t="s">
        <v>25</v>
      </c>
    </row>
    <row r="475" spans="1:5" ht="14.25" customHeight="1" x14ac:dyDescent="0.3">
      <c r="A475" s="4" t="s">
        <v>41</v>
      </c>
      <c r="B475" s="4" t="s">
        <v>13</v>
      </c>
      <c r="C475" s="4" t="s">
        <v>14</v>
      </c>
      <c r="D475" s="4" t="s">
        <v>20</v>
      </c>
      <c r="E475" s="4" t="s">
        <v>25</v>
      </c>
    </row>
    <row r="476" spans="1:5" ht="14.25" customHeight="1" x14ac:dyDescent="0.3">
      <c r="A476" s="4" t="s">
        <v>27</v>
      </c>
      <c r="B476" s="4" t="s">
        <v>28</v>
      </c>
      <c r="C476" s="4" t="s">
        <v>14</v>
      </c>
      <c r="D476" s="4" t="s">
        <v>29</v>
      </c>
      <c r="E476" s="4" t="s">
        <v>16</v>
      </c>
    </row>
    <row r="477" spans="1:5" ht="14.25" customHeight="1" x14ac:dyDescent="0.3">
      <c r="A477" s="4" t="s">
        <v>23</v>
      </c>
      <c r="B477" s="4" t="s">
        <v>24</v>
      </c>
      <c r="C477" s="4" t="s">
        <v>14</v>
      </c>
      <c r="D477" s="4" t="s">
        <v>30</v>
      </c>
      <c r="E477" s="4" t="s">
        <v>25</v>
      </c>
    </row>
    <row r="478" spans="1:5" ht="14.25" customHeight="1" x14ac:dyDescent="0.3">
      <c r="A478" s="4" t="s">
        <v>23</v>
      </c>
      <c r="B478" s="4" t="s">
        <v>26</v>
      </c>
      <c r="C478" s="4" t="s">
        <v>14</v>
      </c>
      <c r="D478" s="4" t="s">
        <v>20</v>
      </c>
      <c r="E478" s="4" t="s">
        <v>25</v>
      </c>
    </row>
    <row r="479" spans="1:5" ht="14.25" customHeight="1" x14ac:dyDescent="0.3">
      <c r="A479" s="4" t="s">
        <v>27</v>
      </c>
      <c r="B479" s="4" t="s">
        <v>28</v>
      </c>
      <c r="C479" s="4" t="s">
        <v>14</v>
      </c>
      <c r="D479" s="4" t="s">
        <v>29</v>
      </c>
      <c r="E479" s="4" t="s">
        <v>16</v>
      </c>
    </row>
    <row r="480" spans="1:5" ht="14.25" customHeight="1" x14ac:dyDescent="0.3">
      <c r="A480" s="4" t="s">
        <v>46</v>
      </c>
      <c r="B480" s="4" t="s">
        <v>28</v>
      </c>
      <c r="C480" s="4" t="s">
        <v>14</v>
      </c>
      <c r="D480" s="4" t="s">
        <v>15</v>
      </c>
      <c r="E480" s="4" t="s">
        <v>16</v>
      </c>
    </row>
    <row r="481" spans="1:5" ht="14.25" customHeight="1" x14ac:dyDescent="0.3">
      <c r="A481" s="4" t="s">
        <v>17</v>
      </c>
      <c r="B481" s="4" t="s">
        <v>26</v>
      </c>
      <c r="C481" s="4" t="s">
        <v>32</v>
      </c>
      <c r="D481" s="4" t="s">
        <v>40</v>
      </c>
      <c r="E481" s="4" t="s">
        <v>16</v>
      </c>
    </row>
    <row r="482" spans="1:5" ht="14.25" customHeight="1" x14ac:dyDescent="0.3">
      <c r="A482" s="4" t="s">
        <v>21</v>
      </c>
      <c r="B482" s="4" t="s">
        <v>35</v>
      </c>
      <c r="C482" s="4" t="s">
        <v>14</v>
      </c>
      <c r="D482" s="4" t="s">
        <v>20</v>
      </c>
      <c r="E482" s="4" t="s">
        <v>25</v>
      </c>
    </row>
    <row r="483" spans="1:5" ht="14.25" customHeight="1" x14ac:dyDescent="0.3">
      <c r="A483" s="4" t="s">
        <v>21</v>
      </c>
      <c r="B483" s="4" t="s">
        <v>22</v>
      </c>
      <c r="C483" s="4" t="s">
        <v>19</v>
      </c>
      <c r="D483" s="4" t="s">
        <v>33</v>
      </c>
      <c r="E483" s="4" t="s">
        <v>25</v>
      </c>
    </row>
    <row r="484" spans="1:5" ht="14.25" customHeight="1" x14ac:dyDescent="0.3">
      <c r="A484" s="4" t="s">
        <v>23</v>
      </c>
      <c r="B484" s="4" t="s">
        <v>26</v>
      </c>
      <c r="C484" s="4" t="s">
        <v>14</v>
      </c>
      <c r="D484" s="4" t="s">
        <v>15</v>
      </c>
      <c r="E484" s="4" t="s">
        <v>25</v>
      </c>
    </row>
    <row r="485" spans="1:5" ht="14.25" customHeight="1" x14ac:dyDescent="0.3">
      <c r="A485" s="4" t="s">
        <v>17</v>
      </c>
      <c r="B485" s="4" t="s">
        <v>31</v>
      </c>
      <c r="C485" s="4" t="s">
        <v>19</v>
      </c>
      <c r="D485" s="4" t="s">
        <v>33</v>
      </c>
      <c r="E485" s="4" t="s">
        <v>25</v>
      </c>
    </row>
    <row r="486" spans="1:5" ht="14.25" customHeight="1" x14ac:dyDescent="0.3">
      <c r="A486" s="4" t="s">
        <v>46</v>
      </c>
      <c r="B486" s="4" t="s">
        <v>28</v>
      </c>
      <c r="C486" s="4" t="s">
        <v>14</v>
      </c>
      <c r="D486" s="4" t="s">
        <v>29</v>
      </c>
      <c r="E486" s="4" t="s">
        <v>16</v>
      </c>
    </row>
    <row r="487" spans="1:5" ht="14.25" customHeight="1" x14ac:dyDescent="0.3">
      <c r="A487" s="4" t="s">
        <v>27</v>
      </c>
      <c r="B487" s="4" t="s">
        <v>28</v>
      </c>
      <c r="C487" s="4" t="s">
        <v>14</v>
      </c>
      <c r="D487" s="4" t="s">
        <v>30</v>
      </c>
      <c r="E487" s="4" t="s">
        <v>25</v>
      </c>
    </row>
    <row r="488" spans="1:5" ht="14.25" customHeight="1" x14ac:dyDescent="0.3">
      <c r="A488" s="4" t="s">
        <v>42</v>
      </c>
      <c r="B488" s="4" t="s">
        <v>26</v>
      </c>
      <c r="C488" s="4" t="s">
        <v>14</v>
      </c>
      <c r="D488" s="4" t="s">
        <v>20</v>
      </c>
      <c r="E488" s="4" t="s">
        <v>16</v>
      </c>
    </row>
    <row r="489" spans="1:5" ht="14.25" customHeight="1" x14ac:dyDescent="0.3">
      <c r="A489" s="4" t="s">
        <v>44</v>
      </c>
      <c r="B489" s="4" t="s">
        <v>22</v>
      </c>
      <c r="C489" s="4" t="s">
        <v>14</v>
      </c>
      <c r="D489" s="4" t="s">
        <v>20</v>
      </c>
      <c r="E489" s="4" t="s">
        <v>16</v>
      </c>
    </row>
    <row r="490" spans="1:5" ht="14.25" customHeight="1" x14ac:dyDescent="0.3">
      <c r="A490" s="4" t="s">
        <v>41</v>
      </c>
      <c r="B490" s="4" t="s">
        <v>24</v>
      </c>
      <c r="C490" s="4" t="s">
        <v>14</v>
      </c>
      <c r="D490" s="4" t="s">
        <v>15</v>
      </c>
      <c r="E490" s="4" t="s">
        <v>25</v>
      </c>
    </row>
    <row r="491" spans="1:5" ht="14.25" customHeight="1" x14ac:dyDescent="0.3">
      <c r="A491" s="4" t="s">
        <v>42</v>
      </c>
      <c r="B491" s="4" t="s">
        <v>26</v>
      </c>
      <c r="C491" s="4" t="s">
        <v>14</v>
      </c>
      <c r="D491" s="4" t="s">
        <v>15</v>
      </c>
      <c r="E491" s="4" t="s">
        <v>16</v>
      </c>
    </row>
    <row r="492" spans="1:5" ht="14.25" customHeight="1" x14ac:dyDescent="0.3">
      <c r="A492" s="4" t="s">
        <v>47</v>
      </c>
      <c r="B492" s="4" t="s">
        <v>13</v>
      </c>
      <c r="C492" s="4" t="s">
        <v>32</v>
      </c>
      <c r="D492" s="4" t="s">
        <v>15</v>
      </c>
      <c r="E492" s="4" t="s">
        <v>16</v>
      </c>
    </row>
    <row r="493" spans="1:5" ht="14.25" customHeight="1" x14ac:dyDescent="0.3">
      <c r="A493" s="4" t="s">
        <v>17</v>
      </c>
      <c r="B493" s="4" t="s">
        <v>18</v>
      </c>
      <c r="C493" s="4" t="s">
        <v>19</v>
      </c>
      <c r="D493" s="4" t="s">
        <v>20</v>
      </c>
      <c r="E493" s="4" t="s">
        <v>16</v>
      </c>
    </row>
    <row r="494" spans="1:5" ht="14.25" customHeight="1" x14ac:dyDescent="0.3">
      <c r="A494" s="4" t="s">
        <v>17</v>
      </c>
      <c r="B494" s="4" t="s">
        <v>24</v>
      </c>
      <c r="C494" s="4" t="s">
        <v>32</v>
      </c>
      <c r="D494" s="4" t="s">
        <v>33</v>
      </c>
      <c r="E494" s="4" t="s">
        <v>25</v>
      </c>
    </row>
    <row r="495" spans="1:5" ht="14.25" customHeight="1" x14ac:dyDescent="0.3">
      <c r="A495" s="4" t="s">
        <v>27</v>
      </c>
      <c r="B495" s="4" t="s">
        <v>28</v>
      </c>
      <c r="C495" s="4" t="s">
        <v>14</v>
      </c>
      <c r="D495" s="4" t="s">
        <v>29</v>
      </c>
      <c r="E495" s="4" t="s">
        <v>16</v>
      </c>
    </row>
    <row r="496" spans="1:5" ht="14.25" customHeight="1" x14ac:dyDescent="0.3">
      <c r="A496" s="4" t="s">
        <v>21</v>
      </c>
      <c r="B496" s="4" t="s">
        <v>22</v>
      </c>
      <c r="C496" s="4" t="s">
        <v>14</v>
      </c>
      <c r="D496" s="4" t="s">
        <v>15</v>
      </c>
      <c r="E496" s="4" t="s">
        <v>25</v>
      </c>
    </row>
    <row r="497" spans="1:5" ht="14.25" customHeight="1" x14ac:dyDescent="0.3">
      <c r="A497" s="4" t="s">
        <v>21</v>
      </c>
      <c r="B497" s="4" t="s">
        <v>22</v>
      </c>
      <c r="C497" s="4" t="s">
        <v>14</v>
      </c>
      <c r="D497" s="4" t="s">
        <v>15</v>
      </c>
      <c r="E497" s="4" t="s">
        <v>16</v>
      </c>
    </row>
    <row r="498" spans="1:5" ht="14.25" customHeight="1" x14ac:dyDescent="0.3">
      <c r="A498" s="4" t="s">
        <v>56</v>
      </c>
      <c r="B498" s="4" t="s">
        <v>35</v>
      </c>
      <c r="C498" s="4" t="s">
        <v>32</v>
      </c>
      <c r="D498" s="4" t="s">
        <v>30</v>
      </c>
      <c r="E498" s="4" t="s">
        <v>16</v>
      </c>
    </row>
    <row r="499" spans="1:5" ht="14.25" customHeight="1" x14ac:dyDescent="0.3">
      <c r="A499" s="4" t="s">
        <v>17</v>
      </c>
      <c r="B499" s="4" t="s">
        <v>24</v>
      </c>
      <c r="C499" s="4" t="s">
        <v>32</v>
      </c>
      <c r="D499" s="4" t="s">
        <v>20</v>
      </c>
      <c r="E499" s="4" t="s">
        <v>16</v>
      </c>
    </row>
    <row r="500" spans="1:5" ht="14.25" customHeight="1" x14ac:dyDescent="0.3">
      <c r="A500" s="4" t="s">
        <v>21</v>
      </c>
      <c r="B500" s="4" t="s">
        <v>28</v>
      </c>
      <c r="C500" s="4" t="s">
        <v>14</v>
      </c>
      <c r="D500" s="4" t="s">
        <v>30</v>
      </c>
      <c r="E500" s="4" t="s">
        <v>25</v>
      </c>
    </row>
    <row r="501" spans="1:5" ht="14.25" customHeight="1" x14ac:dyDescent="0.3">
      <c r="A501" s="4" t="s">
        <v>27</v>
      </c>
      <c r="B501" s="4" t="s">
        <v>35</v>
      </c>
      <c r="C501" s="4" t="s">
        <v>14</v>
      </c>
      <c r="D501" s="4" t="s">
        <v>30</v>
      </c>
      <c r="E501" s="4" t="s">
        <v>16</v>
      </c>
    </row>
    <row r="502" spans="1:5" ht="14.25" customHeight="1" x14ac:dyDescent="0.3">
      <c r="A502" s="4" t="s">
        <v>23</v>
      </c>
      <c r="B502" s="4" t="s">
        <v>26</v>
      </c>
      <c r="C502" s="4" t="s">
        <v>14</v>
      </c>
      <c r="D502" s="4" t="s">
        <v>29</v>
      </c>
      <c r="E502" s="4" t="s">
        <v>25</v>
      </c>
    </row>
    <row r="503" spans="1:5" ht="14.25" customHeight="1" x14ac:dyDescent="0.3">
      <c r="A503" s="4" t="s">
        <v>17</v>
      </c>
      <c r="B503" s="4" t="s">
        <v>24</v>
      </c>
      <c r="C503" s="4" t="s">
        <v>32</v>
      </c>
      <c r="D503" s="4" t="s">
        <v>33</v>
      </c>
      <c r="E503" s="4" t="s">
        <v>16</v>
      </c>
    </row>
    <row r="504" spans="1:5" ht="14.25" customHeight="1" x14ac:dyDescent="0.3">
      <c r="A504" s="4" t="s">
        <v>17</v>
      </c>
      <c r="B504" s="4" t="s">
        <v>26</v>
      </c>
      <c r="C504" s="4" t="s">
        <v>32</v>
      </c>
      <c r="D504" s="4" t="s">
        <v>20</v>
      </c>
      <c r="E504" s="4" t="s">
        <v>25</v>
      </c>
    </row>
    <row r="505" spans="1:5" ht="14.25" customHeight="1" x14ac:dyDescent="0.3">
      <c r="A505" s="4" t="s">
        <v>41</v>
      </c>
      <c r="B505" s="4" t="s">
        <v>24</v>
      </c>
      <c r="C505" s="4" t="s">
        <v>32</v>
      </c>
      <c r="D505" s="4" t="s">
        <v>15</v>
      </c>
      <c r="E505" s="4" t="s">
        <v>16</v>
      </c>
    </row>
    <row r="506" spans="1:5" ht="14.25" customHeight="1" x14ac:dyDescent="0.3">
      <c r="A506" s="4" t="s">
        <v>21</v>
      </c>
      <c r="B506" s="4" t="s">
        <v>35</v>
      </c>
      <c r="C506" s="4" t="s">
        <v>14</v>
      </c>
      <c r="D506" s="4" t="s">
        <v>20</v>
      </c>
      <c r="E506" s="4" t="s">
        <v>25</v>
      </c>
    </row>
    <row r="507" spans="1:5" ht="14.25" customHeight="1" x14ac:dyDescent="0.3">
      <c r="A507" s="4" t="s">
        <v>21</v>
      </c>
      <c r="B507" s="4" t="s">
        <v>22</v>
      </c>
      <c r="C507" s="4" t="s">
        <v>14</v>
      </c>
      <c r="D507" s="4" t="s">
        <v>20</v>
      </c>
      <c r="E507" s="4" t="s">
        <v>25</v>
      </c>
    </row>
    <row r="508" spans="1:5" ht="14.25" customHeight="1" x14ac:dyDescent="0.3">
      <c r="A508" s="4" t="s">
        <v>21</v>
      </c>
      <c r="B508" s="4" t="s">
        <v>26</v>
      </c>
      <c r="C508" s="4" t="s">
        <v>14</v>
      </c>
      <c r="D508" s="4" t="s">
        <v>15</v>
      </c>
      <c r="E508" s="4" t="s">
        <v>25</v>
      </c>
    </row>
    <row r="509" spans="1:5" ht="14.25" customHeight="1" x14ac:dyDescent="0.3">
      <c r="A509" s="4" t="s">
        <v>27</v>
      </c>
      <c r="B509" s="4" t="s">
        <v>35</v>
      </c>
      <c r="C509" s="4" t="s">
        <v>14</v>
      </c>
      <c r="D509" s="4" t="s">
        <v>30</v>
      </c>
      <c r="E509" s="4" t="s">
        <v>16</v>
      </c>
    </row>
    <row r="510" spans="1:5" ht="14.25" customHeight="1" x14ac:dyDescent="0.3">
      <c r="A510" s="4" t="s">
        <v>21</v>
      </c>
      <c r="B510" s="4" t="s">
        <v>28</v>
      </c>
      <c r="C510" s="4" t="s">
        <v>14</v>
      </c>
      <c r="D510" s="4" t="s">
        <v>40</v>
      </c>
      <c r="E510" s="4" t="s">
        <v>25</v>
      </c>
    </row>
    <row r="511" spans="1:5" ht="14.25" customHeight="1" x14ac:dyDescent="0.3">
      <c r="A511" s="4" t="s">
        <v>21</v>
      </c>
      <c r="B511" s="4" t="s">
        <v>35</v>
      </c>
      <c r="C511" s="4" t="s">
        <v>14</v>
      </c>
      <c r="D511" s="4" t="s">
        <v>20</v>
      </c>
      <c r="E511" s="4" t="s">
        <v>25</v>
      </c>
    </row>
    <row r="512" spans="1:5" ht="14.25" customHeight="1" x14ac:dyDescent="0.3">
      <c r="A512" s="4" t="s">
        <v>23</v>
      </c>
      <c r="B512" s="4" t="s">
        <v>26</v>
      </c>
      <c r="C512" s="4" t="s">
        <v>14</v>
      </c>
      <c r="D512" s="4" t="s">
        <v>29</v>
      </c>
      <c r="E512" s="4" t="s">
        <v>25</v>
      </c>
    </row>
    <row r="513" spans="1:5" ht="14.25" customHeight="1" x14ac:dyDescent="0.3">
      <c r="A513" s="4" t="s">
        <v>23</v>
      </c>
      <c r="B513" s="4" t="s">
        <v>28</v>
      </c>
      <c r="C513" s="4" t="s">
        <v>14</v>
      </c>
      <c r="D513" s="4" t="s">
        <v>29</v>
      </c>
      <c r="E513" s="4" t="s">
        <v>16</v>
      </c>
    </row>
    <row r="514" spans="1:5" ht="14.25" customHeight="1" x14ac:dyDescent="0.3">
      <c r="A514" s="4" t="s">
        <v>34</v>
      </c>
      <c r="B514" s="4" t="s">
        <v>35</v>
      </c>
      <c r="C514" s="4" t="s">
        <v>14</v>
      </c>
      <c r="D514" s="4" t="s">
        <v>30</v>
      </c>
      <c r="E514" s="4" t="s">
        <v>16</v>
      </c>
    </row>
    <row r="515" spans="1:5" ht="14.25" customHeight="1" x14ac:dyDescent="0.3">
      <c r="A515" s="4" t="s">
        <v>27</v>
      </c>
      <c r="B515" s="4" t="s">
        <v>28</v>
      </c>
      <c r="C515" s="4" t="s">
        <v>14</v>
      </c>
      <c r="D515" s="4" t="s">
        <v>30</v>
      </c>
      <c r="E515" s="4" t="s">
        <v>25</v>
      </c>
    </row>
    <row r="516" spans="1:5" ht="14.25" customHeight="1" x14ac:dyDescent="0.3">
      <c r="A516" s="4" t="s">
        <v>53</v>
      </c>
      <c r="B516" s="4" t="s">
        <v>62</v>
      </c>
      <c r="C516" s="4" t="s">
        <v>19</v>
      </c>
      <c r="D516" s="4" t="s">
        <v>15</v>
      </c>
      <c r="E516" s="4" t="s">
        <v>25</v>
      </c>
    </row>
    <row r="517" spans="1:5" ht="14.25" customHeight="1" x14ac:dyDescent="0.3">
      <c r="A517" s="4" t="s">
        <v>27</v>
      </c>
      <c r="B517" s="4" t="s">
        <v>28</v>
      </c>
      <c r="C517" s="4" t="s">
        <v>14</v>
      </c>
      <c r="D517" s="4" t="s">
        <v>29</v>
      </c>
      <c r="E517" s="4" t="s">
        <v>25</v>
      </c>
    </row>
    <row r="518" spans="1:5" ht="14.25" customHeight="1" x14ac:dyDescent="0.3">
      <c r="A518" s="4" t="s">
        <v>17</v>
      </c>
      <c r="B518" s="4" t="s">
        <v>18</v>
      </c>
      <c r="C518" s="4" t="s">
        <v>32</v>
      </c>
      <c r="D518" s="4" t="s">
        <v>20</v>
      </c>
      <c r="E518" s="4" t="s">
        <v>25</v>
      </c>
    </row>
    <row r="519" spans="1:5" ht="14.25" customHeight="1" x14ac:dyDescent="0.3">
      <c r="A519" s="4" t="s">
        <v>27</v>
      </c>
      <c r="B519" s="4" t="s">
        <v>28</v>
      </c>
      <c r="C519" s="4" t="s">
        <v>14</v>
      </c>
      <c r="D519" s="4" t="s">
        <v>29</v>
      </c>
      <c r="E519" s="4" t="s">
        <v>16</v>
      </c>
    </row>
    <row r="520" spans="1:5" ht="14.25" customHeight="1" x14ac:dyDescent="0.3">
      <c r="A520" s="4" t="s">
        <v>21</v>
      </c>
      <c r="B520" s="4" t="s">
        <v>35</v>
      </c>
      <c r="C520" s="4" t="s">
        <v>14</v>
      </c>
      <c r="D520" s="4" t="s">
        <v>15</v>
      </c>
      <c r="E520" s="4" t="s">
        <v>16</v>
      </c>
    </row>
    <row r="521" spans="1:5" ht="14.25" customHeight="1" x14ac:dyDescent="0.3">
      <c r="A521" s="4" t="s">
        <v>41</v>
      </c>
      <c r="B521" s="4" t="s">
        <v>24</v>
      </c>
      <c r="C521" s="4" t="s">
        <v>14</v>
      </c>
      <c r="D521" s="4" t="s">
        <v>15</v>
      </c>
      <c r="E521" s="4" t="s">
        <v>25</v>
      </c>
    </row>
    <row r="522" spans="1:5" ht="14.25" customHeight="1" x14ac:dyDescent="0.3">
      <c r="A522" s="4" t="s">
        <v>23</v>
      </c>
      <c r="B522" s="4" t="s">
        <v>26</v>
      </c>
      <c r="C522" s="4" t="s">
        <v>14</v>
      </c>
      <c r="D522" s="4" t="s">
        <v>15</v>
      </c>
      <c r="E522" s="4" t="s">
        <v>16</v>
      </c>
    </row>
    <row r="523" spans="1:5" ht="14.25" customHeight="1" x14ac:dyDescent="0.3">
      <c r="A523" s="4" t="s">
        <v>47</v>
      </c>
      <c r="B523" s="4" t="s">
        <v>28</v>
      </c>
      <c r="C523" s="4" t="s">
        <v>14</v>
      </c>
      <c r="D523" s="4" t="s">
        <v>15</v>
      </c>
      <c r="E523" s="4" t="s">
        <v>16</v>
      </c>
    </row>
    <row r="524" spans="1:5" ht="14.25" customHeight="1" x14ac:dyDescent="0.3">
      <c r="A524" s="4" t="s">
        <v>23</v>
      </c>
      <c r="B524" s="4" t="s">
        <v>26</v>
      </c>
      <c r="C524" s="4" t="s">
        <v>14</v>
      </c>
      <c r="D524" s="4" t="s">
        <v>29</v>
      </c>
      <c r="E524" s="4" t="s">
        <v>25</v>
      </c>
    </row>
    <row r="525" spans="1:5" ht="14.25" customHeight="1" x14ac:dyDescent="0.3">
      <c r="A525" s="4" t="s">
        <v>23</v>
      </c>
      <c r="B525" s="4" t="s">
        <v>26</v>
      </c>
      <c r="C525" s="4" t="s">
        <v>14</v>
      </c>
      <c r="D525" s="4" t="s">
        <v>15</v>
      </c>
      <c r="E525" s="4" t="s">
        <v>25</v>
      </c>
    </row>
    <row r="526" spans="1:5" ht="14.25" customHeight="1" x14ac:dyDescent="0.3">
      <c r="A526" s="4" t="s">
        <v>17</v>
      </c>
      <c r="B526" s="4" t="s">
        <v>18</v>
      </c>
      <c r="C526" s="4" t="s">
        <v>19</v>
      </c>
      <c r="D526" s="4" t="s">
        <v>20</v>
      </c>
      <c r="E526" s="4" t="s">
        <v>25</v>
      </c>
    </row>
    <row r="527" spans="1:5" ht="14.25" customHeight="1" x14ac:dyDescent="0.3">
      <c r="A527" s="4" t="s">
        <v>21</v>
      </c>
      <c r="B527" s="4" t="s">
        <v>26</v>
      </c>
      <c r="C527" s="4" t="s">
        <v>14</v>
      </c>
      <c r="D527" s="4" t="s">
        <v>33</v>
      </c>
      <c r="E527" s="4" t="s">
        <v>25</v>
      </c>
    </row>
    <row r="528" spans="1:5" ht="14.25" customHeight="1" x14ac:dyDescent="0.3">
      <c r="A528" s="4" t="s">
        <v>53</v>
      </c>
      <c r="B528" s="4" t="s">
        <v>63</v>
      </c>
      <c r="C528" s="4" t="s">
        <v>14</v>
      </c>
      <c r="D528" s="4" t="s">
        <v>20</v>
      </c>
      <c r="E528" s="4" t="s">
        <v>16</v>
      </c>
    </row>
    <row r="529" spans="1:5" ht="14.25" customHeight="1" x14ac:dyDescent="0.3">
      <c r="A529" s="4" t="s">
        <v>21</v>
      </c>
      <c r="B529" s="4" t="s">
        <v>26</v>
      </c>
      <c r="C529" s="4" t="s">
        <v>14</v>
      </c>
      <c r="D529" s="4" t="s">
        <v>20</v>
      </c>
      <c r="E529" s="4" t="s">
        <v>16</v>
      </c>
    </row>
    <row r="530" spans="1:5" ht="14.25" customHeight="1" x14ac:dyDescent="0.3">
      <c r="A530" s="4" t="s">
        <v>50</v>
      </c>
      <c r="B530" s="4" t="s">
        <v>22</v>
      </c>
      <c r="C530" s="4" t="s">
        <v>14</v>
      </c>
      <c r="D530" s="4" t="s">
        <v>40</v>
      </c>
      <c r="E530" s="4" t="s">
        <v>25</v>
      </c>
    </row>
    <row r="531" spans="1:5" ht="14.25" customHeight="1" x14ac:dyDescent="0.3">
      <c r="A531" s="4" t="s">
        <v>21</v>
      </c>
      <c r="B531" s="4" t="s">
        <v>22</v>
      </c>
      <c r="C531" s="4" t="s">
        <v>14</v>
      </c>
      <c r="D531" s="4" t="s">
        <v>30</v>
      </c>
      <c r="E531" s="4" t="s">
        <v>25</v>
      </c>
    </row>
    <row r="532" spans="1:5" ht="14.25" customHeight="1" x14ac:dyDescent="0.3">
      <c r="A532" s="4" t="s">
        <v>27</v>
      </c>
      <c r="B532" s="4" t="s">
        <v>28</v>
      </c>
      <c r="C532" s="4" t="s">
        <v>14</v>
      </c>
      <c r="D532" s="4" t="s">
        <v>29</v>
      </c>
      <c r="E532" s="4" t="s">
        <v>16</v>
      </c>
    </row>
    <row r="533" spans="1:5" ht="14.25" customHeight="1" x14ac:dyDescent="0.3">
      <c r="A533" s="4" t="s">
        <v>21</v>
      </c>
      <c r="B533" s="4" t="s">
        <v>35</v>
      </c>
      <c r="C533" s="4" t="s">
        <v>32</v>
      </c>
      <c r="D533" s="4" t="s">
        <v>30</v>
      </c>
      <c r="E533" s="4" t="s">
        <v>25</v>
      </c>
    </row>
    <row r="534" spans="1:5" ht="14.25" customHeight="1" x14ac:dyDescent="0.3">
      <c r="A534" s="4" t="s">
        <v>17</v>
      </c>
      <c r="B534" s="4" t="s">
        <v>18</v>
      </c>
      <c r="C534" s="4" t="s">
        <v>19</v>
      </c>
      <c r="D534" s="4" t="s">
        <v>20</v>
      </c>
      <c r="E534" s="4" t="s">
        <v>25</v>
      </c>
    </row>
    <row r="535" spans="1:5" ht="14.25" customHeight="1" x14ac:dyDescent="0.3">
      <c r="A535" s="4" t="s">
        <v>27</v>
      </c>
      <c r="B535" s="4" t="s">
        <v>28</v>
      </c>
      <c r="C535" s="4" t="s">
        <v>32</v>
      </c>
      <c r="D535" s="4" t="s">
        <v>30</v>
      </c>
      <c r="E535" s="4" t="s">
        <v>16</v>
      </c>
    </row>
    <row r="536" spans="1:5" ht="14.25" customHeight="1" x14ac:dyDescent="0.3">
      <c r="A536" s="4" t="s">
        <v>46</v>
      </c>
      <c r="B536" s="4" t="s">
        <v>28</v>
      </c>
      <c r="C536" s="4" t="s">
        <v>14</v>
      </c>
      <c r="D536" s="4" t="s">
        <v>29</v>
      </c>
      <c r="E536" s="4" t="s">
        <v>16</v>
      </c>
    </row>
    <row r="537" spans="1:5" ht="14.25" customHeight="1" x14ac:dyDescent="0.3">
      <c r="A537" s="4" t="s">
        <v>64</v>
      </c>
      <c r="B537" s="4" t="s">
        <v>35</v>
      </c>
      <c r="C537" s="4" t="s">
        <v>32</v>
      </c>
      <c r="D537" s="4" t="s">
        <v>33</v>
      </c>
      <c r="E537" s="4" t="s">
        <v>25</v>
      </c>
    </row>
    <row r="538" spans="1:5" ht="14.25" customHeight="1" x14ac:dyDescent="0.3">
      <c r="A538" s="4" t="s">
        <v>44</v>
      </c>
      <c r="B538" s="4" t="s">
        <v>22</v>
      </c>
      <c r="C538" s="4" t="s">
        <v>19</v>
      </c>
      <c r="D538" s="4" t="s">
        <v>40</v>
      </c>
      <c r="E538" s="4" t="s">
        <v>25</v>
      </c>
    </row>
    <row r="539" spans="1:5" ht="14.25" customHeight="1" x14ac:dyDescent="0.3">
      <c r="A539" s="4" t="s">
        <v>21</v>
      </c>
      <c r="B539" s="4" t="s">
        <v>22</v>
      </c>
      <c r="C539" s="4" t="s">
        <v>14</v>
      </c>
      <c r="D539" s="4" t="s">
        <v>20</v>
      </c>
      <c r="E539" s="4" t="s">
        <v>25</v>
      </c>
    </row>
    <row r="540" spans="1:5" ht="14.25" customHeight="1" x14ac:dyDescent="0.3">
      <c r="A540" s="4" t="s">
        <v>21</v>
      </c>
      <c r="B540" s="4" t="s">
        <v>22</v>
      </c>
      <c r="C540" s="4" t="s">
        <v>19</v>
      </c>
      <c r="D540" s="4" t="s">
        <v>33</v>
      </c>
      <c r="E540" s="4" t="s">
        <v>16</v>
      </c>
    </row>
    <row r="541" spans="1:5" ht="14.25" customHeight="1" x14ac:dyDescent="0.3">
      <c r="A541" s="4" t="s">
        <v>55</v>
      </c>
      <c r="B541" s="4" t="s">
        <v>13</v>
      </c>
      <c r="C541" s="4" t="s">
        <v>14</v>
      </c>
      <c r="D541" s="4" t="s">
        <v>20</v>
      </c>
      <c r="E541" s="4" t="s">
        <v>16</v>
      </c>
    </row>
    <row r="542" spans="1:5" ht="14.25" customHeight="1" x14ac:dyDescent="0.3">
      <c r="A542" s="4" t="s">
        <v>41</v>
      </c>
      <c r="B542" s="4" t="s">
        <v>24</v>
      </c>
      <c r="C542" s="4" t="s">
        <v>14</v>
      </c>
      <c r="D542" s="4" t="s">
        <v>15</v>
      </c>
      <c r="E542" s="4" t="s">
        <v>16</v>
      </c>
    </row>
    <row r="543" spans="1:5" ht="14.25" customHeight="1" x14ac:dyDescent="0.3">
      <c r="A543" s="4" t="s">
        <v>21</v>
      </c>
      <c r="B543" s="4" t="s">
        <v>31</v>
      </c>
      <c r="C543" s="4" t="s">
        <v>14</v>
      </c>
      <c r="D543" s="4" t="s">
        <v>20</v>
      </c>
      <c r="E543" s="4" t="s">
        <v>25</v>
      </c>
    </row>
    <row r="544" spans="1:5" ht="14.25" customHeight="1" x14ac:dyDescent="0.3">
      <c r="A544" s="4" t="s">
        <v>46</v>
      </c>
      <c r="B544" s="4" t="s">
        <v>24</v>
      </c>
      <c r="C544" s="4" t="s">
        <v>14</v>
      </c>
      <c r="D544" s="4" t="s">
        <v>15</v>
      </c>
      <c r="E544" s="4" t="s">
        <v>25</v>
      </c>
    </row>
    <row r="545" spans="1:5" ht="14.25" customHeight="1" x14ac:dyDescent="0.3">
      <c r="A545" s="4" t="s">
        <v>44</v>
      </c>
      <c r="B545" s="4" t="s">
        <v>22</v>
      </c>
      <c r="C545" s="4" t="s">
        <v>14</v>
      </c>
      <c r="D545" s="4" t="s">
        <v>36</v>
      </c>
      <c r="E545" s="4" t="s">
        <v>25</v>
      </c>
    </row>
    <row r="546" spans="1:5" ht="14.25" customHeight="1" x14ac:dyDescent="0.3">
      <c r="A546" s="4" t="s">
        <v>23</v>
      </c>
      <c r="B546" s="4" t="s">
        <v>26</v>
      </c>
      <c r="C546" s="4" t="s">
        <v>14</v>
      </c>
      <c r="D546" s="4" t="s">
        <v>29</v>
      </c>
      <c r="E546" s="4" t="s">
        <v>25</v>
      </c>
    </row>
    <row r="547" spans="1:5" ht="14.25" customHeight="1" x14ac:dyDescent="0.3">
      <c r="A547" s="4" t="s">
        <v>42</v>
      </c>
      <c r="B547" s="4" t="s">
        <v>26</v>
      </c>
      <c r="C547" s="4" t="s">
        <v>14</v>
      </c>
      <c r="D547" s="4" t="s">
        <v>15</v>
      </c>
      <c r="E547" s="4" t="s">
        <v>16</v>
      </c>
    </row>
    <row r="548" spans="1:5" ht="14.25" customHeight="1" x14ac:dyDescent="0.3">
      <c r="A548" s="4" t="s">
        <v>21</v>
      </c>
      <c r="B548" s="4" t="s">
        <v>26</v>
      </c>
      <c r="C548" s="4" t="s">
        <v>14</v>
      </c>
      <c r="D548" s="4" t="s">
        <v>20</v>
      </c>
      <c r="E548" s="4" t="s">
        <v>16</v>
      </c>
    </row>
    <row r="549" spans="1:5" ht="14.25" customHeight="1" x14ac:dyDescent="0.3">
      <c r="A549" s="4" t="s">
        <v>41</v>
      </c>
      <c r="B549" s="4" t="s">
        <v>39</v>
      </c>
      <c r="C549" s="4" t="s">
        <v>32</v>
      </c>
      <c r="D549" s="4" t="s">
        <v>15</v>
      </c>
      <c r="E549" s="4" t="s">
        <v>25</v>
      </c>
    </row>
    <row r="550" spans="1:5" ht="14.25" customHeight="1" x14ac:dyDescent="0.3">
      <c r="A550" s="4" t="s">
        <v>17</v>
      </c>
      <c r="B550" s="4" t="s">
        <v>26</v>
      </c>
      <c r="C550" s="4" t="s">
        <v>32</v>
      </c>
      <c r="D550" s="4" t="s">
        <v>40</v>
      </c>
      <c r="E550" s="4" t="s">
        <v>16</v>
      </c>
    </row>
    <row r="551" spans="1:5" ht="14.25" customHeight="1" x14ac:dyDescent="0.3">
      <c r="A551" s="4" t="s">
        <v>44</v>
      </c>
      <c r="B551" s="4" t="s">
        <v>22</v>
      </c>
      <c r="C551" s="4" t="s">
        <v>32</v>
      </c>
      <c r="D551" s="4" t="s">
        <v>40</v>
      </c>
      <c r="E551" s="4" t="s">
        <v>16</v>
      </c>
    </row>
    <row r="552" spans="1:5" ht="14.25" customHeight="1" x14ac:dyDescent="0.3">
      <c r="A552" s="4" t="s">
        <v>21</v>
      </c>
      <c r="B552" s="4" t="s">
        <v>22</v>
      </c>
      <c r="C552" s="4" t="s">
        <v>19</v>
      </c>
      <c r="D552" s="4" t="s">
        <v>33</v>
      </c>
      <c r="E552" s="4" t="s">
        <v>25</v>
      </c>
    </row>
    <row r="553" spans="1:5" ht="14.25" customHeight="1" x14ac:dyDescent="0.3">
      <c r="A553" s="4" t="s">
        <v>55</v>
      </c>
      <c r="B553" s="4" t="s">
        <v>13</v>
      </c>
      <c r="C553" s="4" t="s">
        <v>14</v>
      </c>
      <c r="D553" s="4" t="s">
        <v>30</v>
      </c>
      <c r="E553" s="4" t="s">
        <v>16</v>
      </c>
    </row>
    <row r="554" spans="1:5" ht="14.25" customHeight="1" x14ac:dyDescent="0.3">
      <c r="A554" s="4" t="s">
        <v>17</v>
      </c>
      <c r="B554" s="4" t="s">
        <v>24</v>
      </c>
      <c r="C554" s="4" t="s">
        <v>19</v>
      </c>
      <c r="D554" s="4" t="s">
        <v>33</v>
      </c>
      <c r="E554" s="4" t="s">
        <v>25</v>
      </c>
    </row>
    <row r="555" spans="1:5" ht="14.25" customHeight="1" x14ac:dyDescent="0.3">
      <c r="A555" s="4" t="s">
        <v>17</v>
      </c>
      <c r="B555" s="4" t="s">
        <v>26</v>
      </c>
      <c r="C555" s="4" t="s">
        <v>32</v>
      </c>
      <c r="D555" s="4" t="s">
        <v>33</v>
      </c>
      <c r="E555" s="4" t="s">
        <v>16</v>
      </c>
    </row>
    <row r="556" spans="1:5" ht="14.25" customHeight="1" x14ac:dyDescent="0.3">
      <c r="A556" s="4" t="s">
        <v>23</v>
      </c>
      <c r="B556" s="4" t="s">
        <v>26</v>
      </c>
      <c r="C556" s="4" t="s">
        <v>14</v>
      </c>
      <c r="D556" s="4" t="s">
        <v>30</v>
      </c>
      <c r="E556" s="4" t="s">
        <v>25</v>
      </c>
    </row>
    <row r="557" spans="1:5" ht="14.25" customHeight="1" x14ac:dyDescent="0.3">
      <c r="A557" s="4" t="s">
        <v>17</v>
      </c>
      <c r="B557" s="4" t="s">
        <v>26</v>
      </c>
      <c r="C557" s="4" t="s">
        <v>32</v>
      </c>
      <c r="D557" s="4" t="s">
        <v>20</v>
      </c>
      <c r="E557" s="4" t="s">
        <v>25</v>
      </c>
    </row>
    <row r="558" spans="1:5" ht="14.25" customHeight="1" x14ac:dyDescent="0.3">
      <c r="A558" s="4" t="s">
        <v>23</v>
      </c>
      <c r="B558" s="4" t="s">
        <v>26</v>
      </c>
      <c r="C558" s="4" t="s">
        <v>14</v>
      </c>
      <c r="D558" s="4" t="s">
        <v>20</v>
      </c>
      <c r="E558" s="4" t="s">
        <v>25</v>
      </c>
    </row>
    <row r="559" spans="1:5" ht="14.25" customHeight="1" x14ac:dyDescent="0.3">
      <c r="A559" s="4" t="s">
        <v>21</v>
      </c>
      <c r="B559" s="4" t="s">
        <v>22</v>
      </c>
      <c r="C559" s="4" t="s">
        <v>14</v>
      </c>
      <c r="D559" s="4" t="s">
        <v>15</v>
      </c>
      <c r="E559" s="4" t="s">
        <v>16</v>
      </c>
    </row>
    <row r="560" spans="1:5" ht="14.25" customHeight="1" x14ac:dyDescent="0.3">
      <c r="A560" s="4" t="s">
        <v>27</v>
      </c>
      <c r="B560" s="4" t="s">
        <v>28</v>
      </c>
      <c r="C560" s="4" t="s">
        <v>14</v>
      </c>
      <c r="D560" s="4" t="s">
        <v>29</v>
      </c>
      <c r="E560" s="4" t="s">
        <v>16</v>
      </c>
    </row>
    <row r="561" spans="1:5" ht="14.25" customHeight="1" x14ac:dyDescent="0.3">
      <c r="A561" s="4" t="s">
        <v>46</v>
      </c>
      <c r="B561" s="4" t="s">
        <v>24</v>
      </c>
      <c r="C561" s="4" t="s">
        <v>14</v>
      </c>
      <c r="D561" s="4" t="s">
        <v>20</v>
      </c>
      <c r="E561" s="4" t="s">
        <v>16</v>
      </c>
    </row>
    <row r="562" spans="1:5" ht="14.25" customHeight="1" x14ac:dyDescent="0.3">
      <c r="A562" s="4" t="s">
        <v>44</v>
      </c>
      <c r="B562" s="4" t="s">
        <v>22</v>
      </c>
      <c r="C562" s="4" t="s">
        <v>32</v>
      </c>
      <c r="D562" s="4" t="s">
        <v>33</v>
      </c>
      <c r="E562" s="4" t="s">
        <v>25</v>
      </c>
    </row>
    <row r="563" spans="1:5" ht="14.25" customHeight="1" x14ac:dyDescent="0.3">
      <c r="A563" s="4" t="s">
        <v>41</v>
      </c>
      <c r="B563" s="4" t="s">
        <v>28</v>
      </c>
      <c r="C563" s="4" t="s">
        <v>14</v>
      </c>
      <c r="D563" s="4" t="s">
        <v>15</v>
      </c>
      <c r="E563" s="4" t="s">
        <v>25</v>
      </c>
    </row>
    <row r="564" spans="1:5" ht="14.25" customHeight="1" x14ac:dyDescent="0.3">
      <c r="A564" s="4" t="s">
        <v>34</v>
      </c>
      <c r="B564" s="4" t="s">
        <v>35</v>
      </c>
      <c r="C564" s="4" t="s">
        <v>14</v>
      </c>
      <c r="D564" s="4" t="s">
        <v>29</v>
      </c>
      <c r="E564" s="4" t="s">
        <v>25</v>
      </c>
    </row>
    <row r="565" spans="1:5" ht="14.25" customHeight="1" x14ac:dyDescent="0.3">
      <c r="A565" s="4" t="s">
        <v>21</v>
      </c>
      <c r="B565" s="4" t="s">
        <v>22</v>
      </c>
      <c r="C565" s="4" t="s">
        <v>14</v>
      </c>
      <c r="D565" s="4" t="s">
        <v>15</v>
      </c>
      <c r="E565" s="4" t="s">
        <v>25</v>
      </c>
    </row>
    <row r="566" spans="1:5" ht="14.25" customHeight="1" x14ac:dyDescent="0.3">
      <c r="A566" s="4" t="s">
        <v>53</v>
      </c>
      <c r="B566" s="4" t="s">
        <v>35</v>
      </c>
      <c r="C566" s="4" t="s">
        <v>14</v>
      </c>
      <c r="D566" s="4" t="s">
        <v>20</v>
      </c>
      <c r="E566" s="4" t="s">
        <v>16</v>
      </c>
    </row>
    <row r="567" spans="1:5" ht="14.25" customHeight="1" x14ac:dyDescent="0.3">
      <c r="A567" s="4" t="s">
        <v>21</v>
      </c>
      <c r="B567" s="4" t="s">
        <v>28</v>
      </c>
      <c r="C567" s="4" t="s">
        <v>14</v>
      </c>
      <c r="D567" s="4" t="s">
        <v>30</v>
      </c>
      <c r="E567" s="4" t="s">
        <v>25</v>
      </c>
    </row>
    <row r="568" spans="1:5" ht="14.25" customHeight="1" x14ac:dyDescent="0.3">
      <c r="A568" s="4" t="s">
        <v>41</v>
      </c>
      <c r="B568" s="4" t="s">
        <v>28</v>
      </c>
      <c r="C568" s="4" t="s">
        <v>32</v>
      </c>
      <c r="D568" s="4" t="s">
        <v>15</v>
      </c>
      <c r="E568" s="4" t="s">
        <v>25</v>
      </c>
    </row>
    <row r="569" spans="1:5" ht="14.25" customHeight="1" x14ac:dyDescent="0.3">
      <c r="A569" s="4" t="s">
        <v>23</v>
      </c>
      <c r="B569" s="4" t="s">
        <v>26</v>
      </c>
      <c r="C569" s="4" t="s">
        <v>14</v>
      </c>
      <c r="D569" s="4" t="s">
        <v>15</v>
      </c>
      <c r="E569" s="4" t="s">
        <v>16</v>
      </c>
    </row>
    <row r="570" spans="1:5" ht="14.25" customHeight="1" x14ac:dyDescent="0.3">
      <c r="A570" s="4" t="s">
        <v>23</v>
      </c>
      <c r="B570" s="4" t="s">
        <v>26</v>
      </c>
      <c r="C570" s="4" t="s">
        <v>14</v>
      </c>
      <c r="D570" s="4" t="s">
        <v>29</v>
      </c>
      <c r="E570" s="4" t="s">
        <v>16</v>
      </c>
    </row>
    <row r="571" spans="1:5" ht="14.25" customHeight="1" x14ac:dyDescent="0.3">
      <c r="A571" s="4" t="s">
        <v>21</v>
      </c>
      <c r="B571" s="4" t="s">
        <v>22</v>
      </c>
      <c r="C571" s="4" t="s">
        <v>14</v>
      </c>
      <c r="D571" s="4" t="s">
        <v>40</v>
      </c>
      <c r="E571" s="4" t="s">
        <v>25</v>
      </c>
    </row>
    <row r="572" spans="1:5" ht="14.25" customHeight="1" x14ac:dyDescent="0.3">
      <c r="A572" s="4" t="s">
        <v>27</v>
      </c>
      <c r="B572" s="4" t="s">
        <v>28</v>
      </c>
      <c r="C572" s="4" t="s">
        <v>14</v>
      </c>
      <c r="D572" s="4" t="s">
        <v>30</v>
      </c>
      <c r="E572" s="4" t="s">
        <v>16</v>
      </c>
    </row>
    <row r="573" spans="1:5" ht="14.25" customHeight="1" x14ac:dyDescent="0.3">
      <c r="A573" s="4" t="s">
        <v>27</v>
      </c>
      <c r="B573" s="4" t="s">
        <v>28</v>
      </c>
      <c r="C573" s="4" t="s">
        <v>14</v>
      </c>
      <c r="D573" s="4" t="s">
        <v>29</v>
      </c>
      <c r="E573" s="4" t="s">
        <v>16</v>
      </c>
    </row>
    <row r="574" spans="1:5" ht="14.25" customHeight="1" x14ac:dyDescent="0.3">
      <c r="A574" s="4" t="s">
        <v>34</v>
      </c>
      <c r="B574" s="4" t="s">
        <v>35</v>
      </c>
      <c r="C574" s="4" t="s">
        <v>14</v>
      </c>
      <c r="D574" s="4" t="s">
        <v>30</v>
      </c>
      <c r="E574" s="4" t="s">
        <v>25</v>
      </c>
    </row>
    <row r="575" spans="1:5" ht="14.25" customHeight="1" x14ac:dyDescent="0.3">
      <c r="A575" s="4" t="s">
        <v>23</v>
      </c>
      <c r="B575" s="4" t="s">
        <v>28</v>
      </c>
      <c r="C575" s="4" t="s">
        <v>14</v>
      </c>
      <c r="D575" s="4" t="s">
        <v>30</v>
      </c>
      <c r="E575" s="4" t="s">
        <v>16</v>
      </c>
    </row>
    <row r="576" spans="1:5" ht="14.25" customHeight="1" x14ac:dyDescent="0.3">
      <c r="A576" s="4" t="s">
        <v>23</v>
      </c>
      <c r="B576" s="4" t="s">
        <v>26</v>
      </c>
      <c r="C576" s="4" t="s">
        <v>14</v>
      </c>
      <c r="D576" s="4" t="s">
        <v>30</v>
      </c>
      <c r="E576" s="4" t="s">
        <v>16</v>
      </c>
    </row>
    <row r="577" spans="1:5" ht="14.25" customHeight="1" x14ac:dyDescent="0.3">
      <c r="A577" s="4" t="s">
        <v>21</v>
      </c>
      <c r="B577" s="4" t="s">
        <v>35</v>
      </c>
      <c r="C577" s="4" t="s">
        <v>14</v>
      </c>
      <c r="D577" s="4" t="s">
        <v>20</v>
      </c>
      <c r="E577" s="4" t="s">
        <v>16</v>
      </c>
    </row>
    <row r="578" spans="1:5" ht="14.25" customHeight="1" x14ac:dyDescent="0.3">
      <c r="A578" s="4" t="s">
        <v>17</v>
      </c>
      <c r="B578" s="4" t="s">
        <v>26</v>
      </c>
      <c r="C578" s="4" t="s">
        <v>19</v>
      </c>
      <c r="D578" s="4" t="s">
        <v>20</v>
      </c>
      <c r="E578" s="4" t="s">
        <v>16</v>
      </c>
    </row>
    <row r="579" spans="1:5" ht="14.25" customHeight="1" x14ac:dyDescent="0.3">
      <c r="A579" s="4" t="s">
        <v>21</v>
      </c>
      <c r="B579" s="4" t="s">
        <v>22</v>
      </c>
      <c r="C579" s="4" t="s">
        <v>19</v>
      </c>
      <c r="D579" s="4" t="s">
        <v>30</v>
      </c>
      <c r="E579" s="4" t="s">
        <v>25</v>
      </c>
    </row>
    <row r="580" spans="1:5" ht="14.25" customHeight="1" x14ac:dyDescent="0.3">
      <c r="A580" s="4" t="s">
        <v>23</v>
      </c>
      <c r="B580" s="4" t="s">
        <v>28</v>
      </c>
      <c r="C580" s="4" t="s">
        <v>14</v>
      </c>
      <c r="D580" s="4" t="s">
        <v>30</v>
      </c>
      <c r="E580" s="4" t="s">
        <v>16</v>
      </c>
    </row>
    <row r="581" spans="1:5" ht="14.25" customHeight="1" x14ac:dyDescent="0.3">
      <c r="A581" s="4" t="s">
        <v>21</v>
      </c>
      <c r="B581" s="4" t="s">
        <v>22</v>
      </c>
      <c r="C581" s="4" t="s">
        <v>14</v>
      </c>
      <c r="D581" s="4" t="s">
        <v>20</v>
      </c>
      <c r="E581" s="4" t="s">
        <v>25</v>
      </c>
    </row>
    <row r="582" spans="1:5" ht="14.25" customHeight="1" x14ac:dyDescent="0.3">
      <c r="A582" s="4" t="s">
        <v>21</v>
      </c>
      <c r="B582" s="4" t="s">
        <v>22</v>
      </c>
      <c r="C582" s="4" t="s">
        <v>14</v>
      </c>
      <c r="D582" s="4" t="s">
        <v>30</v>
      </c>
      <c r="E582" s="4" t="s">
        <v>16</v>
      </c>
    </row>
    <row r="583" spans="1:5" ht="14.25" customHeight="1" x14ac:dyDescent="0.3">
      <c r="A583" s="4" t="s">
        <v>21</v>
      </c>
      <c r="B583" s="4" t="s">
        <v>22</v>
      </c>
      <c r="C583" s="4" t="s">
        <v>14</v>
      </c>
      <c r="D583" s="4" t="s">
        <v>20</v>
      </c>
      <c r="E583" s="4" t="s">
        <v>25</v>
      </c>
    </row>
    <row r="584" spans="1:5" ht="14.25" customHeight="1" x14ac:dyDescent="0.3">
      <c r="A584" s="4" t="s">
        <v>21</v>
      </c>
      <c r="B584" s="4" t="s">
        <v>22</v>
      </c>
      <c r="C584" s="4" t="s">
        <v>14</v>
      </c>
      <c r="D584" s="4" t="s">
        <v>30</v>
      </c>
      <c r="E584" s="4" t="s">
        <v>25</v>
      </c>
    </row>
    <row r="585" spans="1:5" ht="14.25" customHeight="1" x14ac:dyDescent="0.3">
      <c r="A585" s="4" t="s">
        <v>21</v>
      </c>
      <c r="B585" s="4" t="s">
        <v>35</v>
      </c>
      <c r="C585" s="4" t="s">
        <v>14</v>
      </c>
      <c r="D585" s="4" t="s">
        <v>20</v>
      </c>
      <c r="E585" s="4" t="s">
        <v>25</v>
      </c>
    </row>
    <row r="586" spans="1:5" ht="14.25" customHeight="1" x14ac:dyDescent="0.3">
      <c r="A586" s="4" t="s">
        <v>12</v>
      </c>
      <c r="B586" s="4" t="s">
        <v>35</v>
      </c>
      <c r="C586" s="4" t="s">
        <v>14</v>
      </c>
      <c r="D586" s="4" t="s">
        <v>40</v>
      </c>
      <c r="E586" s="4" t="s">
        <v>16</v>
      </c>
    </row>
    <row r="587" spans="1:5" ht="14.25" customHeight="1" x14ac:dyDescent="0.3">
      <c r="A587" s="4" t="s">
        <v>23</v>
      </c>
      <c r="B587" s="4" t="s">
        <v>26</v>
      </c>
      <c r="C587" s="4" t="s">
        <v>32</v>
      </c>
      <c r="D587" s="4" t="s">
        <v>20</v>
      </c>
      <c r="E587" s="4" t="s">
        <v>16</v>
      </c>
    </row>
    <row r="588" spans="1:5" ht="14.25" customHeight="1" x14ac:dyDescent="0.3">
      <c r="A588" s="4" t="s">
        <v>21</v>
      </c>
      <c r="B588" s="4" t="s">
        <v>22</v>
      </c>
      <c r="C588" s="4" t="s">
        <v>14</v>
      </c>
      <c r="D588" s="4" t="s">
        <v>15</v>
      </c>
      <c r="E588" s="4" t="s">
        <v>25</v>
      </c>
    </row>
    <row r="589" spans="1:5" ht="14.25" customHeight="1" x14ac:dyDescent="0.3">
      <c r="A589" s="4" t="s">
        <v>27</v>
      </c>
      <c r="B589" s="4" t="s">
        <v>28</v>
      </c>
      <c r="C589" s="4" t="s">
        <v>32</v>
      </c>
      <c r="D589" s="4" t="s">
        <v>30</v>
      </c>
      <c r="E589" s="4" t="s">
        <v>16</v>
      </c>
    </row>
    <row r="590" spans="1:5" ht="14.25" customHeight="1" x14ac:dyDescent="0.3">
      <c r="A590" s="4" t="s">
        <v>27</v>
      </c>
      <c r="B590" s="4" t="s">
        <v>28</v>
      </c>
      <c r="C590" s="4" t="s">
        <v>14</v>
      </c>
      <c r="D590" s="4" t="s">
        <v>29</v>
      </c>
      <c r="E590" s="4" t="s">
        <v>16</v>
      </c>
    </row>
    <row r="591" spans="1:5" ht="14.25" customHeight="1" x14ac:dyDescent="0.3">
      <c r="A591" s="4" t="s">
        <v>21</v>
      </c>
      <c r="B591" s="4" t="s">
        <v>22</v>
      </c>
      <c r="C591" s="4" t="s">
        <v>14</v>
      </c>
      <c r="D591" s="4" t="s">
        <v>40</v>
      </c>
      <c r="E591" s="4" t="s">
        <v>25</v>
      </c>
    </row>
    <row r="592" spans="1:5" ht="14.25" customHeight="1" x14ac:dyDescent="0.3">
      <c r="A592" s="4" t="s">
        <v>53</v>
      </c>
      <c r="B592" s="4" t="s">
        <v>63</v>
      </c>
      <c r="C592" s="4" t="s">
        <v>14</v>
      </c>
      <c r="D592" s="4" t="s">
        <v>15</v>
      </c>
      <c r="E592" s="4" t="s">
        <v>25</v>
      </c>
    </row>
    <row r="593" spans="1:5" ht="14.25" customHeight="1" x14ac:dyDescent="0.3">
      <c r="A593" s="4" t="s">
        <v>44</v>
      </c>
      <c r="B593" s="4" t="s">
        <v>22</v>
      </c>
      <c r="C593" s="4" t="s">
        <v>14</v>
      </c>
      <c r="D593" s="4" t="s">
        <v>40</v>
      </c>
      <c r="E593" s="4" t="s">
        <v>25</v>
      </c>
    </row>
    <row r="594" spans="1:5" ht="14.25" customHeight="1" x14ac:dyDescent="0.3">
      <c r="A594" s="4" t="s">
        <v>55</v>
      </c>
      <c r="B594" s="4" t="s">
        <v>13</v>
      </c>
      <c r="C594" s="4" t="s">
        <v>32</v>
      </c>
      <c r="D594" s="4" t="s">
        <v>29</v>
      </c>
      <c r="E594" s="4" t="s">
        <v>16</v>
      </c>
    </row>
    <row r="595" spans="1:5" ht="14.25" customHeight="1" x14ac:dyDescent="0.3">
      <c r="A595" s="4" t="s">
        <v>41</v>
      </c>
      <c r="B595" s="4" t="s">
        <v>28</v>
      </c>
      <c r="C595" s="4" t="s">
        <v>32</v>
      </c>
      <c r="D595" s="4" t="s">
        <v>15</v>
      </c>
      <c r="E595" s="4" t="s">
        <v>16</v>
      </c>
    </row>
    <row r="596" spans="1:5" ht="14.25" customHeight="1" x14ac:dyDescent="0.3">
      <c r="A596" s="4" t="s">
        <v>21</v>
      </c>
      <c r="B596" s="4" t="s">
        <v>22</v>
      </c>
      <c r="C596" s="4" t="s">
        <v>19</v>
      </c>
      <c r="D596" s="4" t="s">
        <v>15</v>
      </c>
      <c r="E596" s="4" t="s">
        <v>16</v>
      </c>
    </row>
    <row r="597" spans="1:5" ht="14.25" customHeight="1" x14ac:dyDescent="0.3">
      <c r="A597" s="4" t="s">
        <v>27</v>
      </c>
      <c r="B597" s="4" t="s">
        <v>28</v>
      </c>
      <c r="C597" s="4" t="s">
        <v>14</v>
      </c>
      <c r="D597" s="4" t="s">
        <v>30</v>
      </c>
      <c r="E597" s="4" t="s">
        <v>16</v>
      </c>
    </row>
    <row r="598" spans="1:5" ht="14.25" customHeight="1" x14ac:dyDescent="0.3">
      <c r="A598" s="4" t="s">
        <v>21</v>
      </c>
      <c r="B598" s="4" t="s">
        <v>28</v>
      </c>
      <c r="C598" s="4" t="s">
        <v>14</v>
      </c>
      <c r="D598" s="4" t="s">
        <v>20</v>
      </c>
      <c r="E598" s="4" t="s">
        <v>16</v>
      </c>
    </row>
    <row r="599" spans="1:5" ht="14.25" customHeight="1" x14ac:dyDescent="0.3">
      <c r="A599" s="4" t="s">
        <v>64</v>
      </c>
      <c r="B599" s="4" t="s">
        <v>28</v>
      </c>
      <c r="C599" s="4" t="s">
        <v>14</v>
      </c>
      <c r="D599" s="4" t="s">
        <v>33</v>
      </c>
      <c r="E599" s="4" t="s">
        <v>25</v>
      </c>
    </row>
    <row r="600" spans="1:5" ht="14.25" customHeight="1" x14ac:dyDescent="0.3">
      <c r="A600" s="4" t="s">
        <v>21</v>
      </c>
      <c r="B600" s="4" t="s">
        <v>22</v>
      </c>
      <c r="C600" s="4" t="s">
        <v>14</v>
      </c>
      <c r="D600" s="4" t="s">
        <v>15</v>
      </c>
      <c r="E600" s="4" t="s">
        <v>25</v>
      </c>
    </row>
    <row r="601" spans="1:5" ht="14.25" customHeight="1" x14ac:dyDescent="0.3">
      <c r="A601" s="4" t="s">
        <v>12</v>
      </c>
      <c r="B601" s="4" t="s">
        <v>22</v>
      </c>
      <c r="C601" s="4" t="s">
        <v>32</v>
      </c>
      <c r="D601" s="4" t="s">
        <v>20</v>
      </c>
      <c r="E601" s="4" t="s">
        <v>25</v>
      </c>
    </row>
    <row r="602" spans="1:5" ht="14.25" customHeight="1" x14ac:dyDescent="0.3">
      <c r="A602" s="4" t="s">
        <v>21</v>
      </c>
      <c r="B602" s="4" t="s">
        <v>22</v>
      </c>
      <c r="C602" s="4" t="s">
        <v>14</v>
      </c>
      <c r="D602" s="4" t="s">
        <v>20</v>
      </c>
      <c r="E602" s="4" t="s">
        <v>16</v>
      </c>
    </row>
    <row r="603" spans="1:5" ht="14.25" customHeight="1" x14ac:dyDescent="0.3">
      <c r="A603" s="4" t="s">
        <v>27</v>
      </c>
      <c r="B603" s="4" t="s">
        <v>28</v>
      </c>
      <c r="C603" s="4" t="s">
        <v>32</v>
      </c>
      <c r="D603" s="4" t="s">
        <v>33</v>
      </c>
      <c r="E603" s="4" t="s">
        <v>16</v>
      </c>
    </row>
    <row r="604" spans="1:5" ht="14.25" customHeight="1" x14ac:dyDescent="0.3">
      <c r="A604" s="4" t="s">
        <v>23</v>
      </c>
      <c r="B604" s="4" t="s">
        <v>26</v>
      </c>
      <c r="C604" s="4" t="s">
        <v>14</v>
      </c>
      <c r="D604" s="4" t="s">
        <v>15</v>
      </c>
      <c r="E604" s="4" t="s">
        <v>16</v>
      </c>
    </row>
    <row r="605" spans="1:5" ht="14.25" customHeight="1" x14ac:dyDescent="0.3">
      <c r="A605" s="4" t="s">
        <v>21</v>
      </c>
      <c r="B605" s="4" t="s">
        <v>22</v>
      </c>
      <c r="C605" s="4" t="s">
        <v>14</v>
      </c>
      <c r="D605" s="4" t="s">
        <v>15</v>
      </c>
      <c r="E605" s="4" t="s">
        <v>25</v>
      </c>
    </row>
    <row r="606" spans="1:5" ht="14.25" customHeight="1" x14ac:dyDescent="0.3">
      <c r="A606" s="4" t="s">
        <v>27</v>
      </c>
      <c r="B606" s="4" t="s">
        <v>28</v>
      </c>
      <c r="C606" s="4" t="s">
        <v>14</v>
      </c>
      <c r="D606" s="4" t="s">
        <v>29</v>
      </c>
      <c r="E606" s="4" t="s">
        <v>16</v>
      </c>
    </row>
    <row r="607" spans="1:5" ht="14.25" customHeight="1" x14ac:dyDescent="0.3">
      <c r="A607" s="4" t="s">
        <v>41</v>
      </c>
      <c r="B607" s="4" t="s">
        <v>28</v>
      </c>
      <c r="C607" s="4" t="s">
        <v>32</v>
      </c>
      <c r="D607" s="4" t="s">
        <v>30</v>
      </c>
      <c r="E607" s="4" t="s">
        <v>25</v>
      </c>
    </row>
    <row r="608" spans="1:5" ht="14.25" customHeight="1" x14ac:dyDescent="0.3">
      <c r="A608" s="4" t="s">
        <v>52</v>
      </c>
      <c r="B608" s="4" t="s">
        <v>35</v>
      </c>
      <c r="C608" s="4" t="s">
        <v>14</v>
      </c>
      <c r="D608" s="4" t="s">
        <v>20</v>
      </c>
      <c r="E608" s="4" t="s">
        <v>25</v>
      </c>
    </row>
    <row r="609" spans="1:5" ht="14.25" customHeight="1" x14ac:dyDescent="0.3">
      <c r="A609" s="4" t="s">
        <v>21</v>
      </c>
      <c r="B609" s="4" t="s">
        <v>26</v>
      </c>
      <c r="C609" s="4" t="s">
        <v>14</v>
      </c>
      <c r="D609" s="4" t="s">
        <v>33</v>
      </c>
      <c r="E609" s="4" t="s">
        <v>25</v>
      </c>
    </row>
    <row r="610" spans="1:5" ht="14.25" customHeight="1" x14ac:dyDescent="0.3">
      <c r="A610" s="4" t="s">
        <v>23</v>
      </c>
      <c r="B610" s="4" t="s">
        <v>26</v>
      </c>
      <c r="C610" s="4" t="s">
        <v>14</v>
      </c>
      <c r="D610" s="4" t="s">
        <v>15</v>
      </c>
      <c r="E610" s="4" t="s">
        <v>16</v>
      </c>
    </row>
    <row r="611" spans="1:5" ht="14.25" customHeight="1" x14ac:dyDescent="0.3">
      <c r="A611" s="4" t="s">
        <v>27</v>
      </c>
      <c r="B611" s="4" t="s">
        <v>28</v>
      </c>
      <c r="C611" s="4" t="s">
        <v>14</v>
      </c>
      <c r="D611" s="4" t="s">
        <v>29</v>
      </c>
      <c r="E611" s="4" t="s">
        <v>16</v>
      </c>
    </row>
    <row r="612" spans="1:5" ht="14.25" customHeight="1" x14ac:dyDescent="0.3">
      <c r="A612" s="4" t="s">
        <v>17</v>
      </c>
      <c r="B612" s="4" t="s">
        <v>24</v>
      </c>
      <c r="C612" s="4" t="s">
        <v>32</v>
      </c>
      <c r="D612" s="4" t="s">
        <v>20</v>
      </c>
      <c r="E612" s="4" t="s">
        <v>25</v>
      </c>
    </row>
    <row r="613" spans="1:5" ht="14.25" customHeight="1" x14ac:dyDescent="0.3">
      <c r="A613" s="4" t="s">
        <v>23</v>
      </c>
      <c r="B613" s="4" t="s">
        <v>26</v>
      </c>
      <c r="C613" s="4" t="s">
        <v>14</v>
      </c>
      <c r="D613" s="4" t="s">
        <v>15</v>
      </c>
      <c r="E613" s="4" t="s">
        <v>25</v>
      </c>
    </row>
    <row r="614" spans="1:5" ht="14.25" customHeight="1" x14ac:dyDescent="0.3">
      <c r="A614" s="4" t="s">
        <v>42</v>
      </c>
      <c r="B614" s="4" t="s">
        <v>26</v>
      </c>
      <c r="C614" s="4" t="s">
        <v>14</v>
      </c>
      <c r="D614" s="4" t="s">
        <v>30</v>
      </c>
      <c r="E614" s="4" t="s">
        <v>25</v>
      </c>
    </row>
    <row r="615" spans="1:5" ht="14.25" customHeight="1" x14ac:dyDescent="0.3">
      <c r="A615" s="4" t="s">
        <v>27</v>
      </c>
      <c r="B615" s="4" t="s">
        <v>28</v>
      </c>
      <c r="C615" s="4" t="s">
        <v>14</v>
      </c>
      <c r="D615" s="4" t="s">
        <v>15</v>
      </c>
      <c r="E615" s="4" t="s">
        <v>16</v>
      </c>
    </row>
    <row r="616" spans="1:5" ht="14.25" customHeight="1" x14ac:dyDescent="0.3">
      <c r="A616" s="4" t="s">
        <v>42</v>
      </c>
      <c r="B616" s="4" t="s">
        <v>26</v>
      </c>
      <c r="C616" s="4" t="s">
        <v>14</v>
      </c>
      <c r="D616" s="4" t="s">
        <v>15</v>
      </c>
      <c r="E616" s="4" t="s">
        <v>25</v>
      </c>
    </row>
    <row r="617" spans="1:5" ht="14.25" customHeight="1" x14ac:dyDescent="0.3">
      <c r="A617" s="4" t="s">
        <v>23</v>
      </c>
      <c r="B617" s="4" t="s">
        <v>35</v>
      </c>
      <c r="C617" s="4" t="s">
        <v>14</v>
      </c>
      <c r="D617" s="4" t="s">
        <v>20</v>
      </c>
      <c r="E617" s="4" t="s">
        <v>25</v>
      </c>
    </row>
    <row r="618" spans="1:5" ht="14.25" customHeight="1" x14ac:dyDescent="0.3">
      <c r="A618" s="4" t="s">
        <v>23</v>
      </c>
      <c r="B618" s="4" t="s">
        <v>26</v>
      </c>
      <c r="C618" s="4" t="s">
        <v>14</v>
      </c>
      <c r="D618" s="4" t="s">
        <v>29</v>
      </c>
      <c r="E618" s="4" t="s">
        <v>16</v>
      </c>
    </row>
    <row r="619" spans="1:5" ht="14.25" customHeight="1" x14ac:dyDescent="0.3">
      <c r="A619" s="4" t="s">
        <v>21</v>
      </c>
      <c r="B619" s="4" t="s">
        <v>22</v>
      </c>
      <c r="C619" s="4" t="s">
        <v>14</v>
      </c>
      <c r="D619" s="4" t="s">
        <v>33</v>
      </c>
      <c r="E619" s="4" t="s">
        <v>25</v>
      </c>
    </row>
    <row r="620" spans="1:5" ht="14.25" customHeight="1" x14ac:dyDescent="0.3">
      <c r="A620" s="4" t="s">
        <v>27</v>
      </c>
      <c r="B620" s="4" t="s">
        <v>28</v>
      </c>
      <c r="C620" s="4" t="s">
        <v>14</v>
      </c>
      <c r="D620" s="4" t="s">
        <v>20</v>
      </c>
      <c r="E620" s="4" t="s">
        <v>25</v>
      </c>
    </row>
    <row r="621" spans="1:5" ht="14.25" customHeight="1" x14ac:dyDescent="0.3">
      <c r="A621" s="4" t="s">
        <v>21</v>
      </c>
      <c r="B621" s="4" t="s">
        <v>35</v>
      </c>
      <c r="C621" s="4" t="s">
        <v>14</v>
      </c>
      <c r="D621" s="4" t="s">
        <v>15</v>
      </c>
      <c r="E621" s="4" t="s">
        <v>25</v>
      </c>
    </row>
    <row r="622" spans="1:5" ht="14.25" customHeight="1" x14ac:dyDescent="0.3">
      <c r="A622" s="4" t="s">
        <v>41</v>
      </c>
      <c r="B622" s="4" t="s">
        <v>28</v>
      </c>
      <c r="C622" s="4" t="s">
        <v>32</v>
      </c>
      <c r="D622" s="4" t="s">
        <v>15</v>
      </c>
      <c r="E622" s="4" t="s">
        <v>25</v>
      </c>
    </row>
    <row r="623" spans="1:5" ht="14.25" customHeight="1" x14ac:dyDescent="0.3">
      <c r="A623" s="4" t="s">
        <v>23</v>
      </c>
      <c r="B623" s="4" t="s">
        <v>26</v>
      </c>
      <c r="C623" s="4" t="s">
        <v>14</v>
      </c>
      <c r="D623" s="4" t="s">
        <v>20</v>
      </c>
      <c r="E623" s="4" t="s">
        <v>16</v>
      </c>
    </row>
    <row r="624" spans="1:5" ht="14.25" customHeight="1" x14ac:dyDescent="0.3">
      <c r="A624" s="4" t="s">
        <v>53</v>
      </c>
      <c r="B624" s="4" t="s">
        <v>57</v>
      </c>
      <c r="C624" s="4" t="s">
        <v>19</v>
      </c>
      <c r="D624" s="4" t="s">
        <v>30</v>
      </c>
      <c r="E624" s="4" t="s">
        <v>16</v>
      </c>
    </row>
    <row r="625" spans="1:5" ht="14.25" customHeight="1" x14ac:dyDescent="0.3">
      <c r="A625" s="4" t="s">
        <v>21</v>
      </c>
      <c r="B625" s="4" t="s">
        <v>24</v>
      </c>
      <c r="C625" s="4" t="s">
        <v>14</v>
      </c>
      <c r="D625" s="4" t="s">
        <v>15</v>
      </c>
      <c r="E625" s="4" t="s">
        <v>25</v>
      </c>
    </row>
    <row r="626" spans="1:5" ht="14.25" customHeight="1" x14ac:dyDescent="0.3">
      <c r="A626" s="4" t="s">
        <v>23</v>
      </c>
      <c r="B626" s="4" t="s">
        <v>26</v>
      </c>
      <c r="C626" s="4" t="s">
        <v>14</v>
      </c>
      <c r="D626" s="4" t="s">
        <v>30</v>
      </c>
      <c r="E626" s="4" t="s">
        <v>16</v>
      </c>
    </row>
    <row r="627" spans="1:5" ht="14.25" customHeight="1" x14ac:dyDescent="0.3">
      <c r="A627" s="4" t="s">
        <v>21</v>
      </c>
      <c r="B627" s="4" t="s">
        <v>22</v>
      </c>
      <c r="C627" s="4" t="s">
        <v>14</v>
      </c>
      <c r="D627" s="4" t="s">
        <v>20</v>
      </c>
      <c r="E627" s="4" t="s">
        <v>25</v>
      </c>
    </row>
    <row r="628" spans="1:5" ht="14.25" customHeight="1" x14ac:dyDescent="0.3">
      <c r="A628" s="4" t="s">
        <v>44</v>
      </c>
      <c r="B628" s="4" t="s">
        <v>26</v>
      </c>
      <c r="C628" s="4" t="s">
        <v>19</v>
      </c>
      <c r="D628" s="4" t="s">
        <v>33</v>
      </c>
      <c r="E628" s="4" t="s">
        <v>16</v>
      </c>
    </row>
    <row r="629" spans="1:5" ht="14.25" customHeight="1" x14ac:dyDescent="0.3">
      <c r="A629" s="4" t="s">
        <v>21</v>
      </c>
      <c r="B629" s="4" t="s">
        <v>22</v>
      </c>
      <c r="C629" s="4" t="s">
        <v>14</v>
      </c>
      <c r="D629" s="4" t="s">
        <v>20</v>
      </c>
      <c r="E629" s="4" t="s">
        <v>25</v>
      </c>
    </row>
    <row r="630" spans="1:5" ht="14.25" customHeight="1" x14ac:dyDescent="0.3">
      <c r="A630" s="4" t="s">
        <v>44</v>
      </c>
      <c r="B630" s="4" t="s">
        <v>22</v>
      </c>
      <c r="C630" s="4" t="s">
        <v>14</v>
      </c>
      <c r="D630" s="4" t="s">
        <v>33</v>
      </c>
      <c r="E630" s="4" t="s">
        <v>25</v>
      </c>
    </row>
    <row r="631" spans="1:5" ht="14.25" customHeight="1" x14ac:dyDescent="0.3">
      <c r="A631" s="4" t="s">
        <v>44</v>
      </c>
      <c r="B631" s="4" t="s">
        <v>22</v>
      </c>
      <c r="C631" s="4" t="s">
        <v>14</v>
      </c>
      <c r="D631" s="4" t="s">
        <v>36</v>
      </c>
      <c r="E631" s="4" t="s">
        <v>25</v>
      </c>
    </row>
    <row r="632" spans="1:5" ht="14.25" customHeight="1" x14ac:dyDescent="0.3">
      <c r="A632" s="4" t="s">
        <v>21</v>
      </c>
      <c r="B632" s="4" t="s">
        <v>22</v>
      </c>
      <c r="C632" s="4" t="s">
        <v>14</v>
      </c>
      <c r="D632" s="4" t="s">
        <v>33</v>
      </c>
      <c r="E632" s="4" t="s">
        <v>25</v>
      </c>
    </row>
    <row r="633" spans="1:5" ht="14.25" customHeight="1" x14ac:dyDescent="0.3">
      <c r="A633" s="4" t="s">
        <v>44</v>
      </c>
      <c r="B633" s="4" t="s">
        <v>18</v>
      </c>
      <c r="C633" s="4" t="s">
        <v>14</v>
      </c>
      <c r="D633" s="4" t="s">
        <v>36</v>
      </c>
      <c r="E633" s="4" t="s">
        <v>25</v>
      </c>
    </row>
    <row r="634" spans="1:5" ht="14.25" customHeight="1" x14ac:dyDescent="0.3">
      <c r="A634" s="4" t="s">
        <v>21</v>
      </c>
      <c r="B634" s="4" t="s">
        <v>22</v>
      </c>
      <c r="C634" s="4" t="s">
        <v>14</v>
      </c>
      <c r="D634" s="4" t="s">
        <v>15</v>
      </c>
      <c r="E634" s="4" t="s">
        <v>25</v>
      </c>
    </row>
    <row r="635" spans="1:5" ht="14.25" customHeight="1" x14ac:dyDescent="0.3">
      <c r="A635" s="4" t="s">
        <v>21</v>
      </c>
      <c r="B635" s="4" t="s">
        <v>26</v>
      </c>
      <c r="C635" s="4" t="s">
        <v>14</v>
      </c>
      <c r="D635" s="4" t="s">
        <v>33</v>
      </c>
      <c r="E635" s="4" t="s">
        <v>25</v>
      </c>
    </row>
    <row r="636" spans="1:5" ht="14.25" customHeight="1" x14ac:dyDescent="0.3">
      <c r="A636" s="4" t="s">
        <v>23</v>
      </c>
      <c r="B636" s="4" t="s">
        <v>26</v>
      </c>
      <c r="C636" s="4" t="s">
        <v>14</v>
      </c>
      <c r="D636" s="4" t="s">
        <v>30</v>
      </c>
      <c r="E636" s="4" t="s">
        <v>16</v>
      </c>
    </row>
    <row r="637" spans="1:5" ht="14.25" customHeight="1" x14ac:dyDescent="0.3">
      <c r="A637" s="4" t="s">
        <v>21</v>
      </c>
      <c r="B637" s="4" t="s">
        <v>28</v>
      </c>
      <c r="C637" s="4" t="s">
        <v>14</v>
      </c>
      <c r="D637" s="4" t="s">
        <v>20</v>
      </c>
      <c r="E637" s="4" t="s">
        <v>25</v>
      </c>
    </row>
    <row r="638" spans="1:5" ht="14.25" customHeight="1" x14ac:dyDescent="0.3">
      <c r="A638" s="4" t="s">
        <v>23</v>
      </c>
      <c r="B638" s="4" t="s">
        <v>28</v>
      </c>
      <c r="C638" s="4" t="s">
        <v>14</v>
      </c>
      <c r="D638" s="4" t="s">
        <v>30</v>
      </c>
      <c r="E638" s="4" t="s">
        <v>25</v>
      </c>
    </row>
    <row r="639" spans="1:5" ht="14.25" customHeight="1" x14ac:dyDescent="0.3">
      <c r="A639" s="4" t="s">
        <v>46</v>
      </c>
      <c r="B639" s="4" t="s">
        <v>24</v>
      </c>
      <c r="C639" s="4" t="s">
        <v>14</v>
      </c>
      <c r="D639" s="4" t="s">
        <v>29</v>
      </c>
      <c r="E639" s="4" t="s">
        <v>16</v>
      </c>
    </row>
    <row r="640" spans="1:5" ht="14.25" customHeight="1" x14ac:dyDescent="0.3">
      <c r="A640" s="4" t="s">
        <v>23</v>
      </c>
      <c r="B640" s="4" t="s">
        <v>28</v>
      </c>
      <c r="C640" s="4" t="s">
        <v>14</v>
      </c>
      <c r="D640" s="4" t="s">
        <v>30</v>
      </c>
      <c r="E640" s="4" t="s">
        <v>16</v>
      </c>
    </row>
    <row r="641" spans="1:5" ht="14.25" customHeight="1" x14ac:dyDescent="0.3">
      <c r="A641" s="4" t="s">
        <v>44</v>
      </c>
      <c r="B641" s="4" t="s">
        <v>22</v>
      </c>
      <c r="C641" s="4" t="s">
        <v>14</v>
      </c>
      <c r="D641" s="4" t="s">
        <v>20</v>
      </c>
      <c r="E641" s="4" t="s">
        <v>16</v>
      </c>
    </row>
    <row r="642" spans="1:5" ht="14.25" customHeight="1" x14ac:dyDescent="0.3">
      <c r="A642" s="4" t="s">
        <v>27</v>
      </c>
      <c r="B642" s="4" t="s">
        <v>28</v>
      </c>
      <c r="C642" s="4" t="s">
        <v>14</v>
      </c>
      <c r="D642" s="4" t="s">
        <v>29</v>
      </c>
      <c r="E642" s="4" t="s">
        <v>16</v>
      </c>
    </row>
    <row r="643" spans="1:5" ht="14.25" customHeight="1" x14ac:dyDescent="0.3">
      <c r="A643" s="4" t="s">
        <v>27</v>
      </c>
      <c r="B643" s="4" t="s">
        <v>28</v>
      </c>
      <c r="C643" s="4" t="s">
        <v>14</v>
      </c>
      <c r="D643" s="4" t="s">
        <v>29</v>
      </c>
      <c r="E643" s="4" t="s">
        <v>16</v>
      </c>
    </row>
    <row r="644" spans="1:5" ht="14.25" customHeight="1" x14ac:dyDescent="0.3">
      <c r="A644" s="4" t="s">
        <v>42</v>
      </c>
      <c r="B644" s="4" t="s">
        <v>39</v>
      </c>
      <c r="C644" s="4" t="s">
        <v>14</v>
      </c>
      <c r="D644" s="4" t="s">
        <v>20</v>
      </c>
      <c r="E644" s="4" t="s">
        <v>16</v>
      </c>
    </row>
    <row r="645" spans="1:5" ht="14.25" customHeight="1" x14ac:dyDescent="0.3">
      <c r="A645" s="4" t="s">
        <v>17</v>
      </c>
      <c r="B645" s="4" t="s">
        <v>26</v>
      </c>
      <c r="C645" s="4" t="s">
        <v>32</v>
      </c>
      <c r="D645" s="4" t="s">
        <v>40</v>
      </c>
      <c r="E645" s="4" t="s">
        <v>25</v>
      </c>
    </row>
    <row r="646" spans="1:5" ht="14.25" customHeight="1" x14ac:dyDescent="0.3">
      <c r="A646" s="4" t="s">
        <v>60</v>
      </c>
      <c r="B646" s="4" t="s">
        <v>24</v>
      </c>
      <c r="C646" s="4" t="s">
        <v>14</v>
      </c>
      <c r="D646" s="4" t="s">
        <v>20</v>
      </c>
      <c r="E646" s="4" t="s">
        <v>25</v>
      </c>
    </row>
    <row r="647" spans="1:5" ht="14.25" customHeight="1" x14ac:dyDescent="0.3">
      <c r="A647" s="4" t="s">
        <v>21</v>
      </c>
      <c r="B647" s="4" t="s">
        <v>22</v>
      </c>
      <c r="C647" s="4" t="s">
        <v>14</v>
      </c>
      <c r="D647" s="4" t="s">
        <v>15</v>
      </c>
      <c r="E647" s="4" t="s">
        <v>25</v>
      </c>
    </row>
    <row r="648" spans="1:5" ht="14.25" customHeight="1" x14ac:dyDescent="0.3">
      <c r="A648" s="4" t="s">
        <v>21</v>
      </c>
      <c r="B648" s="4" t="s">
        <v>22</v>
      </c>
      <c r="C648" s="4" t="s">
        <v>14</v>
      </c>
      <c r="D648" s="4" t="s">
        <v>30</v>
      </c>
      <c r="E648" s="4" t="s">
        <v>25</v>
      </c>
    </row>
    <row r="649" spans="1:5" ht="14.25" customHeight="1" x14ac:dyDescent="0.3">
      <c r="A649" s="4" t="s">
        <v>21</v>
      </c>
      <c r="B649" s="4" t="s">
        <v>31</v>
      </c>
      <c r="C649" s="4" t="s">
        <v>14</v>
      </c>
      <c r="D649" s="4" t="s">
        <v>20</v>
      </c>
      <c r="E649" s="4" t="s">
        <v>25</v>
      </c>
    </row>
    <row r="650" spans="1:5" ht="14.25" customHeight="1" x14ac:dyDescent="0.3">
      <c r="A650" s="4" t="s">
        <v>23</v>
      </c>
      <c r="B650" s="4" t="s">
        <v>26</v>
      </c>
      <c r="C650" s="4" t="s">
        <v>14</v>
      </c>
      <c r="D650" s="4" t="s">
        <v>20</v>
      </c>
      <c r="E650" s="4" t="s">
        <v>16</v>
      </c>
    </row>
    <row r="651" spans="1:5" ht="14.25" customHeight="1" x14ac:dyDescent="0.3">
      <c r="A651" s="4" t="s">
        <v>17</v>
      </c>
      <c r="B651" s="4" t="s">
        <v>26</v>
      </c>
      <c r="C651" s="4" t="s">
        <v>49</v>
      </c>
      <c r="D651" s="4" t="s">
        <v>20</v>
      </c>
      <c r="E651" s="4" t="s">
        <v>25</v>
      </c>
    </row>
    <row r="652" spans="1:5" ht="14.25" customHeight="1" x14ac:dyDescent="0.3">
      <c r="A652" s="4" t="s">
        <v>54</v>
      </c>
      <c r="B652" s="4" t="s">
        <v>48</v>
      </c>
      <c r="C652" s="4" t="s">
        <v>14</v>
      </c>
      <c r="D652" s="4" t="s">
        <v>20</v>
      </c>
      <c r="E652" s="4" t="s">
        <v>25</v>
      </c>
    </row>
    <row r="653" spans="1:5" ht="14.25" customHeight="1" x14ac:dyDescent="0.3">
      <c r="A653" s="4" t="s">
        <v>42</v>
      </c>
      <c r="B653" s="4" t="s">
        <v>26</v>
      </c>
      <c r="C653" s="4" t="s">
        <v>14</v>
      </c>
      <c r="D653" s="4" t="s">
        <v>15</v>
      </c>
      <c r="E653" s="4" t="s">
        <v>16</v>
      </c>
    </row>
    <row r="654" spans="1:5" ht="14.25" customHeight="1" x14ac:dyDescent="0.3">
      <c r="A654" s="4" t="s">
        <v>42</v>
      </c>
      <c r="B654" s="4" t="s">
        <v>26</v>
      </c>
      <c r="C654" s="4" t="s">
        <v>14</v>
      </c>
      <c r="D654" s="4" t="s">
        <v>20</v>
      </c>
      <c r="E654" s="4" t="s">
        <v>25</v>
      </c>
    </row>
    <row r="655" spans="1:5" ht="14.25" customHeight="1" x14ac:dyDescent="0.3">
      <c r="A655" s="4" t="s">
        <v>17</v>
      </c>
      <c r="B655" s="4" t="s">
        <v>18</v>
      </c>
      <c r="C655" s="4" t="s">
        <v>19</v>
      </c>
      <c r="D655" s="4" t="s">
        <v>20</v>
      </c>
      <c r="E655" s="4" t="s">
        <v>16</v>
      </c>
    </row>
    <row r="656" spans="1:5" ht="14.25" customHeight="1" x14ac:dyDescent="0.3">
      <c r="A656" s="4" t="s">
        <v>27</v>
      </c>
      <c r="B656" s="4" t="s">
        <v>28</v>
      </c>
      <c r="C656" s="4" t="s">
        <v>32</v>
      </c>
      <c r="D656" s="4" t="s">
        <v>36</v>
      </c>
      <c r="E656" s="4" t="s">
        <v>16</v>
      </c>
    </row>
    <row r="657" spans="1:5" ht="14.25" customHeight="1" x14ac:dyDescent="0.3">
      <c r="A657" s="4" t="s">
        <v>44</v>
      </c>
      <c r="B657" s="4" t="s">
        <v>22</v>
      </c>
      <c r="C657" s="4" t="s">
        <v>14</v>
      </c>
      <c r="D657" s="4" t="s">
        <v>33</v>
      </c>
      <c r="E657" s="4" t="s">
        <v>25</v>
      </c>
    </row>
    <row r="658" spans="1:5" ht="14.25" customHeight="1" x14ac:dyDescent="0.3">
      <c r="A658" s="4" t="s">
        <v>17</v>
      </c>
      <c r="B658" s="4" t="s">
        <v>26</v>
      </c>
      <c r="C658" s="4" t="s">
        <v>32</v>
      </c>
      <c r="D658" s="4" t="s">
        <v>20</v>
      </c>
      <c r="E658" s="4" t="s">
        <v>25</v>
      </c>
    </row>
    <row r="659" spans="1:5" ht="14.25" customHeight="1" x14ac:dyDescent="0.3">
      <c r="A659" s="4" t="s">
        <v>23</v>
      </c>
      <c r="B659" s="4" t="s">
        <v>26</v>
      </c>
      <c r="C659" s="4" t="s">
        <v>14</v>
      </c>
      <c r="D659" s="4" t="s">
        <v>15</v>
      </c>
      <c r="E659" s="4" t="s">
        <v>25</v>
      </c>
    </row>
    <row r="660" spans="1:5" ht="14.25" customHeight="1" x14ac:dyDescent="0.3">
      <c r="A660" s="4" t="s">
        <v>21</v>
      </c>
      <c r="B660" s="4" t="s">
        <v>22</v>
      </c>
      <c r="C660" s="4" t="s">
        <v>14</v>
      </c>
      <c r="D660" s="4" t="s">
        <v>15</v>
      </c>
      <c r="E660" s="4" t="s">
        <v>25</v>
      </c>
    </row>
    <row r="661" spans="1:5" ht="14.25" customHeight="1" x14ac:dyDescent="0.3">
      <c r="A661" s="4" t="s">
        <v>23</v>
      </c>
      <c r="B661" s="4" t="s">
        <v>35</v>
      </c>
      <c r="C661" s="4" t="s">
        <v>14</v>
      </c>
      <c r="D661" s="4" t="s">
        <v>20</v>
      </c>
      <c r="E661" s="4" t="s">
        <v>25</v>
      </c>
    </row>
    <row r="662" spans="1:5" ht="14.25" customHeight="1" x14ac:dyDescent="0.3">
      <c r="A662" s="4" t="s">
        <v>21</v>
      </c>
      <c r="B662" s="4" t="s">
        <v>22</v>
      </c>
      <c r="C662" s="4" t="s">
        <v>14</v>
      </c>
      <c r="D662" s="4" t="s">
        <v>40</v>
      </c>
      <c r="E662" s="4" t="s">
        <v>16</v>
      </c>
    </row>
    <row r="663" spans="1:5" ht="14.25" customHeight="1" x14ac:dyDescent="0.3">
      <c r="A663" s="4" t="s">
        <v>23</v>
      </c>
      <c r="B663" s="4" t="s">
        <v>24</v>
      </c>
      <c r="C663" s="4" t="s">
        <v>14</v>
      </c>
      <c r="D663" s="4" t="s">
        <v>30</v>
      </c>
      <c r="E663" s="4" t="s">
        <v>25</v>
      </c>
    </row>
    <row r="664" spans="1:5" ht="14.25" customHeight="1" x14ac:dyDescent="0.3">
      <c r="A664" s="4" t="s">
        <v>21</v>
      </c>
      <c r="B664" s="4" t="s">
        <v>22</v>
      </c>
      <c r="C664" s="4" t="s">
        <v>14</v>
      </c>
      <c r="D664" s="4" t="s">
        <v>30</v>
      </c>
      <c r="E664" s="4" t="s">
        <v>25</v>
      </c>
    </row>
    <row r="665" spans="1:5" ht="14.25" customHeight="1" x14ac:dyDescent="0.3">
      <c r="A665" s="4" t="s">
        <v>21</v>
      </c>
      <c r="B665" s="4" t="s">
        <v>22</v>
      </c>
      <c r="C665" s="4" t="s">
        <v>14</v>
      </c>
      <c r="D665" s="4" t="s">
        <v>33</v>
      </c>
      <c r="E665" s="4" t="s">
        <v>25</v>
      </c>
    </row>
    <row r="666" spans="1:5" ht="14.25" customHeight="1" x14ac:dyDescent="0.3">
      <c r="A666" s="4" t="s">
        <v>52</v>
      </c>
      <c r="B666" s="4" t="s">
        <v>28</v>
      </c>
      <c r="C666" s="4" t="s">
        <v>32</v>
      </c>
      <c r="D666" s="4" t="s">
        <v>33</v>
      </c>
      <c r="E666" s="4" t="s">
        <v>16</v>
      </c>
    </row>
    <row r="667" spans="1:5" ht="14.25" customHeight="1" x14ac:dyDescent="0.3">
      <c r="A667" s="4" t="s">
        <v>64</v>
      </c>
      <c r="B667" s="4" t="s">
        <v>13</v>
      </c>
      <c r="C667" s="4" t="s">
        <v>32</v>
      </c>
      <c r="D667" s="4" t="s">
        <v>30</v>
      </c>
      <c r="E667" s="4" t="s">
        <v>16</v>
      </c>
    </row>
    <row r="668" spans="1:5" ht="14.25" customHeight="1" x14ac:dyDescent="0.3">
      <c r="A668" s="4" t="s">
        <v>46</v>
      </c>
      <c r="B668" s="4" t="s">
        <v>28</v>
      </c>
      <c r="C668" s="4" t="s">
        <v>14</v>
      </c>
      <c r="D668" s="4" t="s">
        <v>29</v>
      </c>
      <c r="E668" s="4" t="s">
        <v>16</v>
      </c>
    </row>
    <row r="669" spans="1:5" ht="14.25" customHeight="1" x14ac:dyDescent="0.3">
      <c r="A669" s="4" t="s">
        <v>21</v>
      </c>
      <c r="B669" s="4" t="s">
        <v>26</v>
      </c>
      <c r="C669" s="4" t="s">
        <v>14</v>
      </c>
      <c r="D669" s="4" t="s">
        <v>30</v>
      </c>
      <c r="E669" s="4" t="s">
        <v>25</v>
      </c>
    </row>
    <row r="670" spans="1:5" ht="14.25" customHeight="1" x14ac:dyDescent="0.3">
      <c r="A670" s="4" t="s">
        <v>38</v>
      </c>
      <c r="B670" s="4" t="s">
        <v>35</v>
      </c>
      <c r="C670" s="4" t="s">
        <v>14</v>
      </c>
      <c r="D670" s="4" t="s">
        <v>30</v>
      </c>
      <c r="E670" s="4" t="s">
        <v>16</v>
      </c>
    </row>
    <row r="671" spans="1:5" ht="14.25" customHeight="1" x14ac:dyDescent="0.3">
      <c r="A671" s="4" t="s">
        <v>21</v>
      </c>
      <c r="B671" s="4" t="s">
        <v>22</v>
      </c>
      <c r="C671" s="4" t="s">
        <v>14</v>
      </c>
      <c r="D671" s="4" t="s">
        <v>20</v>
      </c>
      <c r="E671" s="4" t="s">
        <v>25</v>
      </c>
    </row>
    <row r="672" spans="1:5" ht="14.25" customHeight="1" x14ac:dyDescent="0.3">
      <c r="A672" s="4" t="s">
        <v>23</v>
      </c>
      <c r="B672" s="4" t="s">
        <v>26</v>
      </c>
      <c r="C672" s="4" t="s">
        <v>14</v>
      </c>
      <c r="D672" s="4" t="s">
        <v>20</v>
      </c>
      <c r="E672" s="4" t="s">
        <v>16</v>
      </c>
    </row>
    <row r="673" spans="1:5" ht="14.25" customHeight="1" x14ac:dyDescent="0.3">
      <c r="A673" s="4" t="s">
        <v>21</v>
      </c>
      <c r="B673" s="4" t="s">
        <v>24</v>
      </c>
      <c r="C673" s="4" t="s">
        <v>19</v>
      </c>
      <c r="D673" s="4" t="s">
        <v>20</v>
      </c>
      <c r="E673" s="4" t="s">
        <v>25</v>
      </c>
    </row>
    <row r="674" spans="1:5" ht="14.25" customHeight="1" x14ac:dyDescent="0.3">
      <c r="A674" s="4" t="s">
        <v>21</v>
      </c>
      <c r="B674" s="4" t="s">
        <v>22</v>
      </c>
      <c r="C674" s="4" t="s">
        <v>14</v>
      </c>
      <c r="D674" s="4" t="s">
        <v>30</v>
      </c>
      <c r="E674" s="4" t="s">
        <v>25</v>
      </c>
    </row>
    <row r="675" spans="1:5" ht="14.25" customHeight="1" x14ac:dyDescent="0.3">
      <c r="A675" s="4" t="s">
        <v>21</v>
      </c>
      <c r="B675" s="4" t="s">
        <v>26</v>
      </c>
      <c r="C675" s="4" t="s">
        <v>14</v>
      </c>
      <c r="D675" s="4" t="s">
        <v>15</v>
      </c>
      <c r="E675" s="4" t="s">
        <v>16</v>
      </c>
    </row>
    <row r="676" spans="1:5" ht="14.25" customHeight="1" x14ac:dyDescent="0.3">
      <c r="A676" s="4" t="s">
        <v>17</v>
      </c>
      <c r="B676" s="4" t="s">
        <v>24</v>
      </c>
      <c r="C676" s="4" t="s">
        <v>19</v>
      </c>
      <c r="D676" s="4" t="s">
        <v>33</v>
      </c>
      <c r="E676" s="4" t="s">
        <v>25</v>
      </c>
    </row>
    <row r="677" spans="1:5" ht="14.25" customHeight="1" x14ac:dyDescent="0.3">
      <c r="A677" s="4" t="s">
        <v>54</v>
      </c>
      <c r="B677" s="4" t="s">
        <v>48</v>
      </c>
      <c r="C677" s="4" t="s">
        <v>14</v>
      </c>
      <c r="D677" s="4" t="s">
        <v>20</v>
      </c>
      <c r="E677" s="4" t="s">
        <v>25</v>
      </c>
    </row>
    <row r="678" spans="1:5" ht="14.25" customHeight="1" x14ac:dyDescent="0.3">
      <c r="A678" s="4" t="s">
        <v>17</v>
      </c>
      <c r="B678" s="4" t="s">
        <v>26</v>
      </c>
      <c r="C678" s="4" t="s">
        <v>32</v>
      </c>
      <c r="D678" s="4" t="s">
        <v>40</v>
      </c>
      <c r="E678" s="4" t="s">
        <v>16</v>
      </c>
    </row>
    <row r="679" spans="1:5" ht="14.25" customHeight="1" x14ac:dyDescent="0.3">
      <c r="A679" s="4" t="s">
        <v>23</v>
      </c>
      <c r="B679" s="4" t="s">
        <v>39</v>
      </c>
      <c r="C679" s="4" t="s">
        <v>14</v>
      </c>
      <c r="D679" s="4" t="s">
        <v>15</v>
      </c>
      <c r="E679" s="4" t="s">
        <v>25</v>
      </c>
    </row>
    <row r="680" spans="1:5" ht="14.25" customHeight="1" x14ac:dyDescent="0.3">
      <c r="A680" s="4" t="s">
        <v>41</v>
      </c>
      <c r="B680" s="4" t="s">
        <v>24</v>
      </c>
      <c r="C680" s="4" t="s">
        <v>14</v>
      </c>
      <c r="D680" s="4" t="s">
        <v>15</v>
      </c>
      <c r="E680" s="4" t="s">
        <v>25</v>
      </c>
    </row>
    <row r="681" spans="1:5" ht="14.25" customHeight="1" x14ac:dyDescent="0.3">
      <c r="A681" s="4" t="s">
        <v>21</v>
      </c>
      <c r="B681" s="4" t="s">
        <v>22</v>
      </c>
      <c r="C681" s="4" t="s">
        <v>14</v>
      </c>
      <c r="D681" s="4" t="s">
        <v>20</v>
      </c>
      <c r="E681" s="4" t="s">
        <v>25</v>
      </c>
    </row>
    <row r="682" spans="1:5" ht="14.25" customHeight="1" x14ac:dyDescent="0.3">
      <c r="A682" s="4" t="s">
        <v>41</v>
      </c>
      <c r="B682" s="4" t="s">
        <v>28</v>
      </c>
      <c r="C682" s="4" t="s">
        <v>14</v>
      </c>
      <c r="D682" s="4" t="s">
        <v>15</v>
      </c>
      <c r="E682" s="4" t="s">
        <v>25</v>
      </c>
    </row>
    <row r="683" spans="1:5" ht="14.25" customHeight="1" x14ac:dyDescent="0.3">
      <c r="A683" s="4" t="s">
        <v>21</v>
      </c>
      <c r="B683" s="4" t="s">
        <v>26</v>
      </c>
      <c r="C683" s="4" t="s">
        <v>14</v>
      </c>
      <c r="D683" s="4" t="s">
        <v>20</v>
      </c>
      <c r="E683" s="4" t="s">
        <v>25</v>
      </c>
    </row>
    <row r="684" spans="1:5" ht="14.25" customHeight="1" x14ac:dyDescent="0.3">
      <c r="A684" s="4" t="s">
        <v>17</v>
      </c>
      <c r="B684" s="4" t="s">
        <v>26</v>
      </c>
      <c r="C684" s="4" t="s">
        <v>19</v>
      </c>
      <c r="D684" s="4" t="s">
        <v>20</v>
      </c>
      <c r="E684" s="4" t="s">
        <v>16</v>
      </c>
    </row>
    <row r="685" spans="1:5" ht="14.25" customHeight="1" x14ac:dyDescent="0.3">
      <c r="A685" s="4" t="s">
        <v>17</v>
      </c>
      <c r="B685" s="4" t="s">
        <v>26</v>
      </c>
      <c r="C685" s="4" t="s">
        <v>32</v>
      </c>
      <c r="D685" s="4" t="s">
        <v>33</v>
      </c>
      <c r="E685" s="4" t="s">
        <v>25</v>
      </c>
    </row>
    <row r="686" spans="1:5" ht="14.25" customHeight="1" x14ac:dyDescent="0.3">
      <c r="A686" s="4" t="s">
        <v>21</v>
      </c>
      <c r="B686" s="4" t="s">
        <v>22</v>
      </c>
      <c r="C686" s="4" t="s">
        <v>14</v>
      </c>
      <c r="D686" s="4" t="s">
        <v>20</v>
      </c>
      <c r="E686" s="4" t="s">
        <v>25</v>
      </c>
    </row>
    <row r="687" spans="1:5" ht="14.25" customHeight="1" x14ac:dyDescent="0.3">
      <c r="A687" s="4" t="s">
        <v>23</v>
      </c>
      <c r="B687" s="4" t="s">
        <v>26</v>
      </c>
      <c r="C687" s="4" t="s">
        <v>14</v>
      </c>
      <c r="D687" s="4" t="s">
        <v>30</v>
      </c>
      <c r="E687" s="4" t="s">
        <v>16</v>
      </c>
    </row>
    <row r="688" spans="1:5" ht="14.25" customHeight="1" x14ac:dyDescent="0.3">
      <c r="A688" s="4" t="s">
        <v>21</v>
      </c>
      <c r="B688" s="4" t="s">
        <v>26</v>
      </c>
      <c r="C688" s="4" t="s">
        <v>14</v>
      </c>
      <c r="D688" s="4" t="s">
        <v>20</v>
      </c>
      <c r="E688" s="4" t="s">
        <v>25</v>
      </c>
    </row>
    <row r="689" spans="1:5" ht="14.25" customHeight="1" x14ac:dyDescent="0.3">
      <c r="A689" s="4" t="s">
        <v>21</v>
      </c>
      <c r="B689" s="4" t="s">
        <v>35</v>
      </c>
      <c r="C689" s="4" t="s">
        <v>14</v>
      </c>
      <c r="D689" s="4" t="s">
        <v>33</v>
      </c>
      <c r="E689" s="4" t="s">
        <v>25</v>
      </c>
    </row>
    <row r="690" spans="1:5" ht="14.25" customHeight="1" x14ac:dyDescent="0.3">
      <c r="A690" s="4" t="s">
        <v>41</v>
      </c>
      <c r="B690" s="4" t="s">
        <v>28</v>
      </c>
      <c r="C690" s="4" t="s">
        <v>14</v>
      </c>
      <c r="D690" s="4" t="s">
        <v>15</v>
      </c>
      <c r="E690" s="4" t="s">
        <v>16</v>
      </c>
    </row>
    <row r="691" spans="1:5" ht="14.25" customHeight="1" x14ac:dyDescent="0.3">
      <c r="A691" s="4" t="s">
        <v>55</v>
      </c>
      <c r="B691" s="4" t="s">
        <v>22</v>
      </c>
      <c r="C691" s="4" t="s">
        <v>14</v>
      </c>
      <c r="D691" s="4" t="s">
        <v>29</v>
      </c>
      <c r="E691" s="4" t="s">
        <v>25</v>
      </c>
    </row>
    <row r="692" spans="1:5" ht="14.25" customHeight="1" x14ac:dyDescent="0.3">
      <c r="A692" s="4" t="s">
        <v>46</v>
      </c>
      <c r="B692" s="4" t="s">
        <v>24</v>
      </c>
      <c r="C692" s="4" t="s">
        <v>14</v>
      </c>
      <c r="D692" s="4" t="s">
        <v>20</v>
      </c>
      <c r="E692" s="4" t="s">
        <v>16</v>
      </c>
    </row>
    <row r="693" spans="1:5" ht="14.25" customHeight="1" x14ac:dyDescent="0.3">
      <c r="A693" s="4" t="s">
        <v>21</v>
      </c>
      <c r="B693" s="4" t="s">
        <v>22</v>
      </c>
      <c r="C693" s="4" t="s">
        <v>14</v>
      </c>
      <c r="D693" s="4" t="s">
        <v>30</v>
      </c>
      <c r="E693" s="4" t="s">
        <v>16</v>
      </c>
    </row>
    <row r="694" spans="1:5" ht="14.25" customHeight="1" x14ac:dyDescent="0.3">
      <c r="A694" s="4" t="s">
        <v>17</v>
      </c>
      <c r="B694" s="4" t="s">
        <v>26</v>
      </c>
      <c r="C694" s="4" t="s">
        <v>32</v>
      </c>
      <c r="D694" s="4" t="s">
        <v>20</v>
      </c>
      <c r="E694" s="4" t="s">
        <v>16</v>
      </c>
    </row>
    <row r="695" spans="1:5" ht="14.25" customHeight="1" x14ac:dyDescent="0.3">
      <c r="A695" s="4" t="s">
        <v>44</v>
      </c>
      <c r="B695" s="4" t="s">
        <v>22</v>
      </c>
      <c r="C695" s="4" t="s">
        <v>14</v>
      </c>
      <c r="D695" s="4" t="s">
        <v>40</v>
      </c>
      <c r="E695" s="4" t="s">
        <v>25</v>
      </c>
    </row>
    <row r="696" spans="1:5" ht="14.25" customHeight="1" x14ac:dyDescent="0.3">
      <c r="A696" s="4" t="s">
        <v>27</v>
      </c>
      <c r="B696" s="4" t="s">
        <v>28</v>
      </c>
      <c r="C696" s="4" t="s">
        <v>14</v>
      </c>
      <c r="D696" s="4" t="s">
        <v>29</v>
      </c>
      <c r="E696" s="4" t="s">
        <v>16</v>
      </c>
    </row>
    <row r="697" spans="1:5" ht="14.25" customHeight="1" x14ac:dyDescent="0.3">
      <c r="A697" s="4" t="s">
        <v>46</v>
      </c>
      <c r="B697" s="4" t="s">
        <v>28</v>
      </c>
      <c r="C697" s="4" t="s">
        <v>14</v>
      </c>
      <c r="D697" s="4" t="s">
        <v>15</v>
      </c>
      <c r="E697" s="4" t="s">
        <v>25</v>
      </c>
    </row>
    <row r="698" spans="1:5" ht="14.25" customHeight="1" x14ac:dyDescent="0.3">
      <c r="A698" s="4" t="s">
        <v>21</v>
      </c>
      <c r="B698" s="4" t="s">
        <v>22</v>
      </c>
      <c r="C698" s="4" t="s">
        <v>14</v>
      </c>
      <c r="D698" s="4" t="s">
        <v>36</v>
      </c>
      <c r="E698" s="4" t="s">
        <v>16</v>
      </c>
    </row>
    <row r="699" spans="1:5" ht="14.25" customHeight="1" x14ac:dyDescent="0.3">
      <c r="A699" s="4" t="s">
        <v>56</v>
      </c>
      <c r="B699" s="4" t="s">
        <v>35</v>
      </c>
      <c r="C699" s="4" t="s">
        <v>32</v>
      </c>
      <c r="D699" s="4" t="s">
        <v>29</v>
      </c>
      <c r="E699" s="4" t="s">
        <v>16</v>
      </c>
    </row>
    <row r="700" spans="1:5" ht="14.25" customHeight="1" x14ac:dyDescent="0.3">
      <c r="A700" s="4" t="s">
        <v>46</v>
      </c>
      <c r="B700" s="4" t="s">
        <v>28</v>
      </c>
      <c r="C700" s="4" t="s">
        <v>14</v>
      </c>
      <c r="D700" s="4" t="s">
        <v>15</v>
      </c>
      <c r="E700" s="4" t="s">
        <v>16</v>
      </c>
    </row>
    <row r="701" spans="1:5" ht="14.25" customHeight="1" x14ac:dyDescent="0.3">
      <c r="A701" s="4" t="s">
        <v>37</v>
      </c>
      <c r="B701" s="4" t="s">
        <v>35</v>
      </c>
      <c r="C701" s="4" t="s">
        <v>32</v>
      </c>
      <c r="D701" s="4" t="s">
        <v>29</v>
      </c>
      <c r="E701" s="4" t="s">
        <v>25</v>
      </c>
    </row>
    <row r="702" spans="1:5" ht="14.25" customHeight="1" x14ac:dyDescent="0.3">
      <c r="A702" s="4" t="s">
        <v>17</v>
      </c>
      <c r="B702" s="4" t="s">
        <v>26</v>
      </c>
      <c r="C702" s="4" t="s">
        <v>32</v>
      </c>
      <c r="D702" s="4" t="s">
        <v>33</v>
      </c>
      <c r="E702" s="4" t="s">
        <v>16</v>
      </c>
    </row>
    <row r="703" spans="1:5" ht="14.25" customHeight="1" x14ac:dyDescent="0.3">
      <c r="A703" s="4" t="s">
        <v>17</v>
      </c>
      <c r="B703" s="4" t="s">
        <v>26</v>
      </c>
      <c r="C703" s="4" t="s">
        <v>32</v>
      </c>
      <c r="D703" s="4" t="s">
        <v>40</v>
      </c>
      <c r="E703" s="4" t="s">
        <v>16</v>
      </c>
    </row>
    <row r="704" spans="1:5" ht="14.25" customHeight="1" x14ac:dyDescent="0.3">
      <c r="A704" s="4" t="s">
        <v>56</v>
      </c>
      <c r="B704" s="4" t="s">
        <v>48</v>
      </c>
      <c r="C704" s="4" t="s">
        <v>32</v>
      </c>
      <c r="D704" s="4" t="s">
        <v>30</v>
      </c>
      <c r="E704" s="4" t="s">
        <v>16</v>
      </c>
    </row>
    <row r="705" spans="1:5" ht="14.25" customHeight="1" x14ac:dyDescent="0.3">
      <c r="A705" s="4" t="s">
        <v>23</v>
      </c>
      <c r="B705" s="4" t="s">
        <v>26</v>
      </c>
      <c r="C705" s="4" t="s">
        <v>14</v>
      </c>
      <c r="D705" s="4" t="s">
        <v>20</v>
      </c>
      <c r="E705" s="4" t="s">
        <v>16</v>
      </c>
    </row>
    <row r="706" spans="1:5" ht="14.25" customHeight="1" x14ac:dyDescent="0.3">
      <c r="A706" s="4" t="s">
        <v>44</v>
      </c>
      <c r="B706" s="4" t="s">
        <v>28</v>
      </c>
      <c r="C706" s="4" t="s">
        <v>32</v>
      </c>
      <c r="D706" s="4" t="s">
        <v>36</v>
      </c>
      <c r="E706" s="4" t="s">
        <v>16</v>
      </c>
    </row>
    <row r="707" spans="1:5" ht="14.25" customHeight="1" x14ac:dyDescent="0.3">
      <c r="A707" s="4" t="s">
        <v>21</v>
      </c>
      <c r="B707" s="4" t="s">
        <v>22</v>
      </c>
      <c r="C707" s="4" t="s">
        <v>14</v>
      </c>
      <c r="D707" s="4" t="s">
        <v>20</v>
      </c>
      <c r="E707" s="4" t="s">
        <v>25</v>
      </c>
    </row>
    <row r="708" spans="1:5" ht="14.25" customHeight="1" x14ac:dyDescent="0.3">
      <c r="A708" s="4" t="s">
        <v>54</v>
      </c>
      <c r="B708" s="4" t="s">
        <v>48</v>
      </c>
      <c r="C708" s="4" t="s">
        <v>14</v>
      </c>
      <c r="D708" s="4" t="s">
        <v>30</v>
      </c>
      <c r="E708" s="4" t="s">
        <v>25</v>
      </c>
    </row>
    <row r="709" spans="1:5" ht="14.25" customHeight="1" x14ac:dyDescent="0.3">
      <c r="A709" s="4" t="s">
        <v>34</v>
      </c>
      <c r="B709" s="4" t="s">
        <v>26</v>
      </c>
      <c r="C709" s="4" t="s">
        <v>14</v>
      </c>
      <c r="D709" s="4" t="s">
        <v>30</v>
      </c>
      <c r="E709" s="4" t="s">
        <v>25</v>
      </c>
    </row>
    <row r="710" spans="1:5" ht="14.25" customHeight="1" x14ac:dyDescent="0.3">
      <c r="A710" s="4" t="s">
        <v>27</v>
      </c>
      <c r="B710" s="4" t="s">
        <v>28</v>
      </c>
      <c r="C710" s="4" t="s">
        <v>14</v>
      </c>
      <c r="D710" s="4" t="s">
        <v>29</v>
      </c>
      <c r="E710" s="4" t="s">
        <v>16</v>
      </c>
    </row>
    <row r="711" spans="1:5" ht="14.25" customHeight="1" x14ac:dyDescent="0.3">
      <c r="A711" s="4" t="s">
        <v>46</v>
      </c>
      <c r="B711" s="4" t="s">
        <v>28</v>
      </c>
      <c r="C711" s="4" t="s">
        <v>14</v>
      </c>
      <c r="D711" s="4" t="s">
        <v>15</v>
      </c>
      <c r="E711" s="4" t="s">
        <v>16</v>
      </c>
    </row>
    <row r="712" spans="1:5" ht="14.25" customHeight="1" x14ac:dyDescent="0.3">
      <c r="A712" s="4" t="s">
        <v>17</v>
      </c>
      <c r="B712" s="4" t="s">
        <v>26</v>
      </c>
      <c r="C712" s="4" t="s">
        <v>32</v>
      </c>
      <c r="D712" s="4" t="s">
        <v>40</v>
      </c>
      <c r="E712" s="4" t="s">
        <v>16</v>
      </c>
    </row>
    <row r="713" spans="1:5" ht="14.25" customHeight="1" x14ac:dyDescent="0.3">
      <c r="A713" s="4" t="s">
        <v>21</v>
      </c>
      <c r="B713" s="4" t="s">
        <v>26</v>
      </c>
      <c r="C713" s="4" t="s">
        <v>14</v>
      </c>
      <c r="D713" s="4" t="s">
        <v>33</v>
      </c>
      <c r="E713" s="4" t="s">
        <v>25</v>
      </c>
    </row>
    <row r="714" spans="1:5" ht="14.25" customHeight="1" x14ac:dyDescent="0.3">
      <c r="A714" s="4" t="s">
        <v>17</v>
      </c>
      <c r="B714" s="4" t="s">
        <v>26</v>
      </c>
      <c r="C714" s="4" t="s">
        <v>32</v>
      </c>
      <c r="D714" s="4" t="s">
        <v>20</v>
      </c>
      <c r="E714" s="4" t="s">
        <v>16</v>
      </c>
    </row>
    <row r="715" spans="1:5" ht="14.25" customHeight="1" x14ac:dyDescent="0.3">
      <c r="A715" s="4" t="s">
        <v>55</v>
      </c>
      <c r="B715" s="4" t="s">
        <v>13</v>
      </c>
      <c r="C715" s="4" t="s">
        <v>14</v>
      </c>
      <c r="D715" s="4" t="s">
        <v>30</v>
      </c>
      <c r="E715" s="4" t="s">
        <v>16</v>
      </c>
    </row>
    <row r="716" spans="1:5" ht="14.25" customHeight="1" x14ac:dyDescent="0.3">
      <c r="A716" s="4" t="s">
        <v>41</v>
      </c>
      <c r="B716" s="4" t="s">
        <v>24</v>
      </c>
      <c r="C716" s="4" t="s">
        <v>14</v>
      </c>
      <c r="D716" s="4" t="s">
        <v>15</v>
      </c>
      <c r="E716" s="4" t="s">
        <v>25</v>
      </c>
    </row>
    <row r="717" spans="1:5" ht="14.25" customHeight="1" x14ac:dyDescent="0.3">
      <c r="A717" s="4" t="s">
        <v>52</v>
      </c>
      <c r="B717" s="4" t="s">
        <v>28</v>
      </c>
      <c r="C717" s="4" t="s">
        <v>14</v>
      </c>
      <c r="D717" s="4" t="s">
        <v>33</v>
      </c>
      <c r="E717" s="4" t="s">
        <v>25</v>
      </c>
    </row>
    <row r="718" spans="1:5" ht="14.25" customHeight="1" x14ac:dyDescent="0.3">
      <c r="A718" s="4" t="s">
        <v>64</v>
      </c>
      <c r="B718" s="4" t="s">
        <v>35</v>
      </c>
      <c r="C718" s="4" t="s">
        <v>32</v>
      </c>
      <c r="D718" s="4" t="s">
        <v>33</v>
      </c>
      <c r="E718" s="4" t="s">
        <v>16</v>
      </c>
    </row>
    <row r="719" spans="1:5" ht="14.25" customHeight="1" x14ac:dyDescent="0.3">
      <c r="A719" s="4" t="s">
        <v>27</v>
      </c>
      <c r="B719" s="4" t="s">
        <v>28</v>
      </c>
      <c r="C719" s="4" t="s">
        <v>32</v>
      </c>
      <c r="D719" s="4" t="s">
        <v>36</v>
      </c>
      <c r="E719" s="4" t="s">
        <v>16</v>
      </c>
    </row>
    <row r="720" spans="1:5" ht="14.25" customHeight="1" x14ac:dyDescent="0.3">
      <c r="A720" s="4" t="s">
        <v>27</v>
      </c>
      <c r="B720" s="4" t="s">
        <v>28</v>
      </c>
      <c r="C720" s="4" t="s">
        <v>14</v>
      </c>
      <c r="D720" s="4" t="s">
        <v>29</v>
      </c>
      <c r="E720" s="4" t="s">
        <v>16</v>
      </c>
    </row>
    <row r="721" spans="1:5" ht="14.25" customHeight="1" x14ac:dyDescent="0.3">
      <c r="A721" s="4" t="s">
        <v>17</v>
      </c>
      <c r="B721" s="4" t="s">
        <v>26</v>
      </c>
      <c r="C721" s="4" t="s">
        <v>32</v>
      </c>
      <c r="D721" s="4" t="s">
        <v>40</v>
      </c>
      <c r="E721" s="4" t="s">
        <v>16</v>
      </c>
    </row>
    <row r="722" spans="1:5" ht="14.25" customHeight="1" x14ac:dyDescent="0.3">
      <c r="A722" s="4" t="s">
        <v>44</v>
      </c>
      <c r="B722" s="4" t="s">
        <v>22</v>
      </c>
      <c r="C722" s="4" t="s">
        <v>32</v>
      </c>
      <c r="D722" s="4" t="s">
        <v>40</v>
      </c>
      <c r="E722" s="4" t="s">
        <v>16</v>
      </c>
    </row>
    <row r="723" spans="1:5" ht="14.25" customHeight="1" x14ac:dyDescent="0.3">
      <c r="A723" s="4" t="s">
        <v>21</v>
      </c>
      <c r="B723" s="4" t="s">
        <v>22</v>
      </c>
      <c r="C723" s="4" t="s">
        <v>14</v>
      </c>
      <c r="D723" s="4" t="s">
        <v>40</v>
      </c>
      <c r="E723" s="4" t="s">
        <v>16</v>
      </c>
    </row>
    <row r="724" spans="1:5" ht="14.25" customHeight="1" x14ac:dyDescent="0.3">
      <c r="A724" s="4" t="s">
        <v>46</v>
      </c>
      <c r="B724" s="4" t="s">
        <v>28</v>
      </c>
      <c r="C724" s="4" t="s">
        <v>14</v>
      </c>
      <c r="D724" s="4" t="s">
        <v>20</v>
      </c>
      <c r="E724" s="4" t="s">
        <v>25</v>
      </c>
    </row>
    <row r="725" spans="1:5" ht="14.25" customHeight="1" x14ac:dyDescent="0.3">
      <c r="A725" s="4" t="s">
        <v>23</v>
      </c>
      <c r="B725" s="4" t="s">
        <v>26</v>
      </c>
      <c r="C725" s="4" t="s">
        <v>14</v>
      </c>
      <c r="D725" s="4" t="s">
        <v>15</v>
      </c>
      <c r="E725" s="4" t="s">
        <v>16</v>
      </c>
    </row>
    <row r="726" spans="1:5" ht="14.25" customHeight="1" x14ac:dyDescent="0.3">
      <c r="A726" s="4" t="s">
        <v>17</v>
      </c>
      <c r="B726" s="4" t="s">
        <v>24</v>
      </c>
      <c r="C726" s="4" t="s">
        <v>32</v>
      </c>
      <c r="D726" s="4" t="s">
        <v>20</v>
      </c>
      <c r="E726" s="4" t="s">
        <v>25</v>
      </c>
    </row>
    <row r="727" spans="1:5" ht="14.25" customHeight="1" x14ac:dyDescent="0.3">
      <c r="A727" s="4" t="s">
        <v>21</v>
      </c>
      <c r="B727" s="4" t="s">
        <v>28</v>
      </c>
      <c r="C727" s="4" t="s">
        <v>32</v>
      </c>
      <c r="D727" s="4" t="s">
        <v>40</v>
      </c>
      <c r="E727" s="4" t="s">
        <v>16</v>
      </c>
    </row>
    <row r="728" spans="1:5" ht="14.25" customHeight="1" x14ac:dyDescent="0.3">
      <c r="A728" s="4" t="s">
        <v>17</v>
      </c>
      <c r="B728" s="4" t="s">
        <v>26</v>
      </c>
      <c r="C728" s="4" t="s">
        <v>32</v>
      </c>
      <c r="D728" s="4" t="s">
        <v>20</v>
      </c>
      <c r="E728" s="4" t="s">
        <v>25</v>
      </c>
    </row>
    <row r="729" spans="1:5" ht="14.25" customHeight="1" x14ac:dyDescent="0.3">
      <c r="A729" s="4" t="s">
        <v>23</v>
      </c>
      <c r="B729" s="4" t="s">
        <v>28</v>
      </c>
      <c r="C729" s="4" t="s">
        <v>14</v>
      </c>
      <c r="D729" s="4" t="s">
        <v>30</v>
      </c>
      <c r="E729" s="4" t="s">
        <v>16</v>
      </c>
    </row>
    <row r="730" spans="1:5" ht="14.25" customHeight="1" x14ac:dyDescent="0.3">
      <c r="A730" s="4" t="s">
        <v>21</v>
      </c>
      <c r="B730" s="4" t="s">
        <v>22</v>
      </c>
      <c r="C730" s="4" t="s">
        <v>14</v>
      </c>
      <c r="D730" s="4" t="s">
        <v>29</v>
      </c>
      <c r="E730" s="4" t="s">
        <v>25</v>
      </c>
    </row>
    <row r="731" spans="1:5" ht="14.25" customHeight="1" x14ac:dyDescent="0.3">
      <c r="A731" s="4" t="s">
        <v>46</v>
      </c>
      <c r="B731" s="4" t="s">
        <v>28</v>
      </c>
      <c r="C731" s="4" t="s">
        <v>14</v>
      </c>
      <c r="D731" s="4" t="s">
        <v>36</v>
      </c>
      <c r="E731" s="4" t="s">
        <v>25</v>
      </c>
    </row>
    <row r="732" spans="1:5" ht="14.25" customHeight="1" x14ac:dyDescent="0.3">
      <c r="A732" s="4" t="s">
        <v>27</v>
      </c>
      <c r="B732" s="4" t="s">
        <v>28</v>
      </c>
      <c r="C732" s="4" t="s">
        <v>14</v>
      </c>
      <c r="D732" s="4" t="s">
        <v>29</v>
      </c>
      <c r="E732" s="4" t="s">
        <v>16</v>
      </c>
    </row>
    <row r="733" spans="1:5" ht="14.25" customHeight="1" x14ac:dyDescent="0.3">
      <c r="A733" s="4" t="s">
        <v>12</v>
      </c>
      <c r="B733" s="4" t="s">
        <v>35</v>
      </c>
      <c r="C733" s="4" t="s">
        <v>14</v>
      </c>
      <c r="D733" s="4" t="s">
        <v>15</v>
      </c>
      <c r="E733" s="4" t="s">
        <v>25</v>
      </c>
    </row>
    <row r="734" spans="1:5" ht="14.25" customHeight="1" x14ac:dyDescent="0.3">
      <c r="A734" s="4" t="s">
        <v>23</v>
      </c>
      <c r="B734" s="4" t="s">
        <v>26</v>
      </c>
      <c r="C734" s="4" t="s">
        <v>14</v>
      </c>
      <c r="D734" s="4" t="s">
        <v>30</v>
      </c>
      <c r="E734" s="4" t="s">
        <v>16</v>
      </c>
    </row>
    <row r="735" spans="1:5" ht="14.25" customHeight="1" x14ac:dyDescent="0.3">
      <c r="A735" s="4" t="s">
        <v>41</v>
      </c>
      <c r="B735" s="4" t="s">
        <v>39</v>
      </c>
      <c r="C735" s="4" t="s">
        <v>32</v>
      </c>
      <c r="D735" s="4" t="s">
        <v>15</v>
      </c>
      <c r="E735" s="4" t="s">
        <v>25</v>
      </c>
    </row>
    <row r="736" spans="1:5" ht="14.25" customHeight="1" x14ac:dyDescent="0.3">
      <c r="A736" s="4" t="s">
        <v>21</v>
      </c>
      <c r="B736" s="4" t="s">
        <v>22</v>
      </c>
      <c r="C736" s="4" t="s">
        <v>19</v>
      </c>
      <c r="D736" s="4" t="s">
        <v>20</v>
      </c>
      <c r="E736" s="4" t="s">
        <v>25</v>
      </c>
    </row>
    <row r="737" spans="1:5" ht="14.25" customHeight="1" x14ac:dyDescent="0.3">
      <c r="A737" s="4" t="s">
        <v>38</v>
      </c>
      <c r="B737" s="4" t="s">
        <v>35</v>
      </c>
      <c r="C737" s="4" t="s">
        <v>14</v>
      </c>
      <c r="D737" s="4" t="s">
        <v>29</v>
      </c>
      <c r="E737" s="4" t="s">
        <v>16</v>
      </c>
    </row>
    <row r="738" spans="1:5" ht="14.25" customHeight="1" x14ac:dyDescent="0.3">
      <c r="A738" s="4" t="s">
        <v>23</v>
      </c>
      <c r="B738" s="4" t="s">
        <v>26</v>
      </c>
      <c r="C738" s="4" t="s">
        <v>14</v>
      </c>
      <c r="D738" s="4" t="s">
        <v>20</v>
      </c>
      <c r="E738" s="4" t="s">
        <v>25</v>
      </c>
    </row>
    <row r="739" spans="1:5" ht="14.25" customHeight="1" x14ac:dyDescent="0.3">
      <c r="A739" s="4" t="s">
        <v>17</v>
      </c>
      <c r="B739" s="4" t="s">
        <v>31</v>
      </c>
      <c r="C739" s="4" t="s">
        <v>32</v>
      </c>
      <c r="D739" s="4" t="s">
        <v>33</v>
      </c>
      <c r="E739" s="4" t="s">
        <v>16</v>
      </c>
    </row>
    <row r="740" spans="1:5" ht="14.25" customHeight="1" x14ac:dyDescent="0.3">
      <c r="A740" s="4" t="s">
        <v>23</v>
      </c>
      <c r="B740" s="4" t="s">
        <v>28</v>
      </c>
      <c r="C740" s="4" t="s">
        <v>14</v>
      </c>
      <c r="D740" s="4" t="s">
        <v>30</v>
      </c>
      <c r="E740" s="4" t="s">
        <v>16</v>
      </c>
    </row>
    <row r="741" spans="1:5" ht="14.25" customHeight="1" x14ac:dyDescent="0.3">
      <c r="A741" s="4" t="s">
        <v>46</v>
      </c>
      <c r="B741" s="4" t="s">
        <v>24</v>
      </c>
      <c r="C741" s="4" t="s">
        <v>49</v>
      </c>
      <c r="D741" s="4" t="s">
        <v>29</v>
      </c>
      <c r="E741" s="4" t="s">
        <v>16</v>
      </c>
    </row>
    <row r="742" spans="1:5" ht="14.25" customHeight="1" x14ac:dyDescent="0.3">
      <c r="A742" s="4" t="s">
        <v>46</v>
      </c>
      <c r="B742" s="4" t="s">
        <v>24</v>
      </c>
      <c r="C742" s="4" t="s">
        <v>14</v>
      </c>
      <c r="D742" s="4" t="s">
        <v>15</v>
      </c>
      <c r="E742" s="4" t="s">
        <v>16</v>
      </c>
    </row>
    <row r="743" spans="1:5" ht="14.25" customHeight="1" x14ac:dyDescent="0.3">
      <c r="A743" s="4" t="s">
        <v>21</v>
      </c>
      <c r="B743" s="4" t="s">
        <v>28</v>
      </c>
      <c r="C743" s="4" t="s">
        <v>14</v>
      </c>
      <c r="D743" s="4" t="s">
        <v>20</v>
      </c>
      <c r="E743" s="4" t="s">
        <v>16</v>
      </c>
    </row>
    <row r="744" spans="1:5" ht="14.25" customHeight="1" x14ac:dyDescent="0.3">
      <c r="A744" s="4" t="s">
        <v>56</v>
      </c>
      <c r="B744" s="4" t="s">
        <v>35</v>
      </c>
      <c r="C744" s="4" t="s">
        <v>14</v>
      </c>
      <c r="D744" s="4" t="s">
        <v>29</v>
      </c>
      <c r="E744" s="4" t="s">
        <v>16</v>
      </c>
    </row>
    <row r="745" spans="1:5" ht="14.25" customHeight="1" x14ac:dyDescent="0.3">
      <c r="A745" s="4" t="s">
        <v>17</v>
      </c>
      <c r="B745" s="4" t="s">
        <v>24</v>
      </c>
      <c r="C745" s="4" t="s">
        <v>19</v>
      </c>
      <c r="D745" s="4" t="s">
        <v>20</v>
      </c>
      <c r="E745" s="4" t="s">
        <v>16</v>
      </c>
    </row>
    <row r="746" spans="1:5" ht="14.25" customHeight="1" x14ac:dyDescent="0.3">
      <c r="A746" s="4" t="s">
        <v>56</v>
      </c>
      <c r="B746" s="4" t="s">
        <v>35</v>
      </c>
      <c r="C746" s="4" t="s">
        <v>32</v>
      </c>
      <c r="D746" s="4" t="s">
        <v>29</v>
      </c>
      <c r="E746" s="4" t="s">
        <v>16</v>
      </c>
    </row>
    <row r="747" spans="1:5" ht="14.25" customHeight="1" x14ac:dyDescent="0.3">
      <c r="A747" s="4" t="s">
        <v>23</v>
      </c>
      <c r="B747" s="4" t="s">
        <v>26</v>
      </c>
      <c r="C747" s="4" t="s">
        <v>14</v>
      </c>
      <c r="D747" s="4" t="s">
        <v>15</v>
      </c>
      <c r="E747" s="4" t="s">
        <v>16</v>
      </c>
    </row>
    <row r="748" spans="1:5" ht="14.25" customHeight="1" x14ac:dyDescent="0.3">
      <c r="A748" s="4" t="s">
        <v>50</v>
      </c>
      <c r="B748" s="4" t="s">
        <v>22</v>
      </c>
      <c r="C748" s="4" t="s">
        <v>32</v>
      </c>
      <c r="D748" s="4" t="s">
        <v>36</v>
      </c>
      <c r="E748" s="4" t="s">
        <v>25</v>
      </c>
    </row>
    <row r="749" spans="1:5" ht="14.25" customHeight="1" x14ac:dyDescent="0.3">
      <c r="A749" s="4" t="s">
        <v>23</v>
      </c>
      <c r="B749" s="4" t="s">
        <v>28</v>
      </c>
      <c r="C749" s="4" t="s">
        <v>14</v>
      </c>
      <c r="D749" s="4" t="s">
        <v>15</v>
      </c>
      <c r="E749" s="4" t="s">
        <v>16</v>
      </c>
    </row>
    <row r="750" spans="1:5" ht="14.25" customHeight="1" x14ac:dyDescent="0.3">
      <c r="A750" s="4" t="s">
        <v>21</v>
      </c>
      <c r="B750" s="4" t="s">
        <v>22</v>
      </c>
      <c r="C750" s="4" t="s">
        <v>14</v>
      </c>
      <c r="D750" s="4" t="s">
        <v>20</v>
      </c>
      <c r="E750" s="4" t="s">
        <v>16</v>
      </c>
    </row>
    <row r="751" spans="1:5" ht="14.25" customHeight="1" x14ac:dyDescent="0.3">
      <c r="A751" s="4" t="s">
        <v>21</v>
      </c>
      <c r="B751" s="4" t="s">
        <v>31</v>
      </c>
      <c r="C751" s="4" t="s">
        <v>14</v>
      </c>
      <c r="D751" s="4" t="s">
        <v>15</v>
      </c>
      <c r="E751" s="4" t="s">
        <v>16</v>
      </c>
    </row>
    <row r="752" spans="1:5" ht="14.25" customHeight="1" x14ac:dyDescent="0.3">
      <c r="A752" s="4" t="s">
        <v>34</v>
      </c>
      <c r="B752" s="4" t="s">
        <v>35</v>
      </c>
      <c r="C752" s="4" t="s">
        <v>14</v>
      </c>
      <c r="D752" s="4" t="s">
        <v>30</v>
      </c>
      <c r="E752" s="4" t="s">
        <v>25</v>
      </c>
    </row>
    <row r="753" spans="1:5" ht="14.25" customHeight="1" x14ac:dyDescent="0.3">
      <c r="A753" s="4" t="s">
        <v>21</v>
      </c>
      <c r="B753" s="4" t="s">
        <v>31</v>
      </c>
      <c r="C753" s="4" t="s">
        <v>14</v>
      </c>
      <c r="D753" s="4" t="s">
        <v>40</v>
      </c>
      <c r="E753" s="4" t="s">
        <v>25</v>
      </c>
    </row>
    <row r="754" spans="1:5" ht="14.25" customHeight="1" x14ac:dyDescent="0.3">
      <c r="A754" s="4" t="s">
        <v>23</v>
      </c>
      <c r="B754" s="4" t="s">
        <v>24</v>
      </c>
      <c r="C754" s="4" t="s">
        <v>14</v>
      </c>
      <c r="D754" s="4" t="s">
        <v>30</v>
      </c>
      <c r="E754" s="4" t="s">
        <v>16</v>
      </c>
    </row>
    <row r="755" spans="1:5" ht="14.25" customHeight="1" x14ac:dyDescent="0.3">
      <c r="A755" s="4" t="s">
        <v>23</v>
      </c>
      <c r="B755" s="4" t="s">
        <v>26</v>
      </c>
      <c r="C755" s="4" t="s">
        <v>14</v>
      </c>
      <c r="D755" s="4" t="s">
        <v>29</v>
      </c>
      <c r="E755" s="4" t="s">
        <v>25</v>
      </c>
    </row>
    <row r="756" spans="1:5" ht="14.25" customHeight="1" x14ac:dyDescent="0.3">
      <c r="A756" s="4" t="s">
        <v>27</v>
      </c>
      <c r="B756" s="4" t="s">
        <v>35</v>
      </c>
      <c r="C756" s="4" t="s">
        <v>14</v>
      </c>
      <c r="D756" s="4" t="s">
        <v>30</v>
      </c>
      <c r="E756" s="4" t="s">
        <v>16</v>
      </c>
    </row>
    <row r="757" spans="1:5" ht="14.25" customHeight="1" x14ac:dyDescent="0.3">
      <c r="A757" s="4" t="s">
        <v>21</v>
      </c>
      <c r="B757" s="4" t="s">
        <v>22</v>
      </c>
      <c r="C757" s="4" t="s">
        <v>19</v>
      </c>
      <c r="D757" s="4" t="s">
        <v>30</v>
      </c>
      <c r="E757" s="4" t="s">
        <v>16</v>
      </c>
    </row>
    <row r="758" spans="1:5" ht="14.25" customHeight="1" x14ac:dyDescent="0.3">
      <c r="A758" s="4" t="s">
        <v>21</v>
      </c>
      <c r="B758" s="4" t="s">
        <v>24</v>
      </c>
      <c r="C758" s="4" t="s">
        <v>14</v>
      </c>
      <c r="D758" s="4" t="s">
        <v>20</v>
      </c>
      <c r="E758" s="4" t="s">
        <v>25</v>
      </c>
    </row>
    <row r="759" spans="1:5" ht="14.25" customHeight="1" x14ac:dyDescent="0.3">
      <c r="A759" s="4" t="s">
        <v>21</v>
      </c>
      <c r="B759" s="4" t="s">
        <v>22</v>
      </c>
      <c r="C759" s="4" t="s">
        <v>14</v>
      </c>
      <c r="D759" s="4" t="s">
        <v>20</v>
      </c>
      <c r="E759" s="4" t="s">
        <v>16</v>
      </c>
    </row>
    <row r="760" spans="1:5" ht="14.25" customHeight="1" x14ac:dyDescent="0.3">
      <c r="A760" s="4" t="s">
        <v>17</v>
      </c>
      <c r="B760" s="4" t="s">
        <v>26</v>
      </c>
      <c r="C760" s="4" t="s">
        <v>19</v>
      </c>
      <c r="D760" s="4" t="s">
        <v>20</v>
      </c>
      <c r="E760" s="4" t="s">
        <v>16</v>
      </c>
    </row>
    <row r="761" spans="1:5" ht="14.25" customHeight="1" x14ac:dyDescent="0.3">
      <c r="A761" s="4" t="s">
        <v>23</v>
      </c>
      <c r="B761" s="4" t="s">
        <v>26</v>
      </c>
      <c r="C761" s="4" t="s">
        <v>14</v>
      </c>
      <c r="D761" s="4" t="s">
        <v>15</v>
      </c>
      <c r="E761" s="4" t="s">
        <v>16</v>
      </c>
    </row>
    <row r="762" spans="1:5" ht="14.25" customHeight="1" x14ac:dyDescent="0.3">
      <c r="A762" s="4" t="s">
        <v>27</v>
      </c>
      <c r="B762" s="4" t="s">
        <v>28</v>
      </c>
      <c r="C762" s="4" t="s">
        <v>14</v>
      </c>
      <c r="D762" s="4" t="s">
        <v>29</v>
      </c>
      <c r="E762" s="4" t="s">
        <v>16</v>
      </c>
    </row>
    <row r="763" spans="1:5" ht="14.25" customHeight="1" x14ac:dyDescent="0.3">
      <c r="A763" s="4" t="s">
        <v>21</v>
      </c>
      <c r="B763" s="4" t="s">
        <v>22</v>
      </c>
      <c r="C763" s="4" t="s">
        <v>14</v>
      </c>
      <c r="D763" s="4" t="s">
        <v>30</v>
      </c>
      <c r="E763" s="4" t="s">
        <v>25</v>
      </c>
    </row>
    <row r="764" spans="1:5" ht="14.25" customHeight="1" x14ac:dyDescent="0.3">
      <c r="A764" s="4" t="s">
        <v>23</v>
      </c>
      <c r="B764" s="4" t="s">
        <v>28</v>
      </c>
      <c r="C764" s="4" t="s">
        <v>14</v>
      </c>
      <c r="D764" s="4" t="s">
        <v>15</v>
      </c>
      <c r="E764" s="4" t="s">
        <v>16</v>
      </c>
    </row>
    <row r="765" spans="1:5" ht="14.25" customHeight="1" x14ac:dyDescent="0.3">
      <c r="A765" s="4" t="s">
        <v>44</v>
      </c>
      <c r="B765" s="4" t="s">
        <v>22</v>
      </c>
      <c r="C765" s="4" t="s">
        <v>49</v>
      </c>
      <c r="D765" s="4" t="s">
        <v>33</v>
      </c>
      <c r="E765" s="4" t="s">
        <v>16</v>
      </c>
    </row>
    <row r="766" spans="1:5" ht="14.25" customHeight="1" x14ac:dyDescent="0.3">
      <c r="A766" s="4" t="s">
        <v>23</v>
      </c>
      <c r="B766" s="4" t="s">
        <v>26</v>
      </c>
      <c r="C766" s="4" t="s">
        <v>14</v>
      </c>
      <c r="D766" s="4" t="s">
        <v>29</v>
      </c>
      <c r="E766" s="4" t="s">
        <v>16</v>
      </c>
    </row>
    <row r="767" spans="1:5" ht="14.25" customHeight="1" x14ac:dyDescent="0.3">
      <c r="A767" s="4" t="s">
        <v>12</v>
      </c>
      <c r="B767" s="4" t="s">
        <v>28</v>
      </c>
      <c r="C767" s="4" t="s">
        <v>32</v>
      </c>
      <c r="D767" s="4" t="s">
        <v>30</v>
      </c>
      <c r="E767" s="4" t="s">
        <v>16</v>
      </c>
    </row>
    <row r="768" spans="1:5" ht="14.25" customHeight="1" x14ac:dyDescent="0.3">
      <c r="A768" s="4" t="s">
        <v>42</v>
      </c>
      <c r="B768" s="4" t="s">
        <v>26</v>
      </c>
      <c r="C768" s="4" t="s">
        <v>14</v>
      </c>
      <c r="D768" s="4" t="s">
        <v>15</v>
      </c>
      <c r="E768" s="4" t="s">
        <v>25</v>
      </c>
    </row>
    <row r="769" spans="1:5" ht="14.25" customHeight="1" x14ac:dyDescent="0.3">
      <c r="A769" s="4" t="s">
        <v>17</v>
      </c>
      <c r="B769" s="4" t="s">
        <v>31</v>
      </c>
      <c r="C769" s="4" t="s">
        <v>32</v>
      </c>
      <c r="D769" s="4" t="s">
        <v>36</v>
      </c>
      <c r="E769" s="4" t="s">
        <v>25</v>
      </c>
    </row>
    <row r="770" spans="1:5" ht="14.25" customHeight="1" x14ac:dyDescent="0.3">
      <c r="A770" s="4" t="s">
        <v>23</v>
      </c>
      <c r="B770" s="4" t="s">
        <v>43</v>
      </c>
      <c r="C770" s="4" t="s">
        <v>14</v>
      </c>
      <c r="D770" s="4" t="s">
        <v>29</v>
      </c>
      <c r="E770" s="4" t="s">
        <v>25</v>
      </c>
    </row>
    <row r="771" spans="1:5" ht="14.25" customHeight="1" x14ac:dyDescent="0.3">
      <c r="A771" s="4" t="s">
        <v>23</v>
      </c>
      <c r="B771" s="4" t="s">
        <v>26</v>
      </c>
      <c r="C771" s="4" t="s">
        <v>14</v>
      </c>
      <c r="D771" s="4" t="s">
        <v>20</v>
      </c>
      <c r="E771" s="4" t="s">
        <v>16</v>
      </c>
    </row>
    <row r="772" spans="1:5" ht="14.25" customHeight="1" x14ac:dyDescent="0.3">
      <c r="A772" s="4" t="s">
        <v>27</v>
      </c>
      <c r="B772" s="4" t="s">
        <v>22</v>
      </c>
      <c r="C772" s="4" t="s">
        <v>32</v>
      </c>
      <c r="D772" s="4" t="s">
        <v>29</v>
      </c>
      <c r="E772" s="4" t="s">
        <v>16</v>
      </c>
    </row>
    <row r="773" spans="1:5" ht="14.25" customHeight="1" x14ac:dyDescent="0.3">
      <c r="A773" s="4" t="s">
        <v>41</v>
      </c>
      <c r="B773" s="4" t="s">
        <v>28</v>
      </c>
      <c r="C773" s="4" t="s">
        <v>14</v>
      </c>
      <c r="D773" s="4" t="s">
        <v>30</v>
      </c>
      <c r="E773" s="4" t="s">
        <v>25</v>
      </c>
    </row>
    <row r="774" spans="1:5" ht="14.25" customHeight="1" x14ac:dyDescent="0.3">
      <c r="A774" s="4" t="s">
        <v>23</v>
      </c>
      <c r="B774" s="4" t="s">
        <v>28</v>
      </c>
      <c r="C774" s="4" t="s">
        <v>14</v>
      </c>
      <c r="D774" s="4" t="s">
        <v>30</v>
      </c>
      <c r="E774" s="4" t="s">
        <v>16</v>
      </c>
    </row>
    <row r="775" spans="1:5" ht="14.25" customHeight="1" x14ac:dyDescent="0.3">
      <c r="A775" s="4" t="s">
        <v>41</v>
      </c>
      <c r="B775" s="4" t="s">
        <v>24</v>
      </c>
      <c r="C775" s="4" t="s">
        <v>14</v>
      </c>
      <c r="D775" s="4" t="s">
        <v>30</v>
      </c>
      <c r="E775" s="4" t="s">
        <v>25</v>
      </c>
    </row>
    <row r="776" spans="1:5" ht="14.25" customHeight="1" x14ac:dyDescent="0.3">
      <c r="A776" s="4" t="s">
        <v>21</v>
      </c>
      <c r="B776" s="4" t="s">
        <v>43</v>
      </c>
      <c r="C776" s="4" t="s">
        <v>14</v>
      </c>
      <c r="D776" s="4" t="s">
        <v>20</v>
      </c>
      <c r="E776" s="4" t="s">
        <v>25</v>
      </c>
    </row>
    <row r="777" spans="1:5" ht="14.25" customHeight="1" x14ac:dyDescent="0.3">
      <c r="A777" s="4" t="s">
        <v>46</v>
      </c>
      <c r="B777" s="4" t="s">
        <v>24</v>
      </c>
      <c r="C777" s="4" t="s">
        <v>14</v>
      </c>
      <c r="D777" s="4" t="s">
        <v>15</v>
      </c>
      <c r="E777" s="4" t="s">
        <v>16</v>
      </c>
    </row>
    <row r="778" spans="1:5" ht="14.25" customHeight="1" x14ac:dyDescent="0.3">
      <c r="A778" s="4" t="s">
        <v>21</v>
      </c>
      <c r="B778" s="4" t="s">
        <v>35</v>
      </c>
      <c r="C778" s="4" t="s">
        <v>14</v>
      </c>
      <c r="D778" s="4" t="s">
        <v>40</v>
      </c>
      <c r="E778" s="4" t="s">
        <v>25</v>
      </c>
    </row>
    <row r="779" spans="1:5" ht="14.25" customHeight="1" x14ac:dyDescent="0.3">
      <c r="A779" s="4" t="s">
        <v>41</v>
      </c>
      <c r="B779" s="4" t="s">
        <v>24</v>
      </c>
      <c r="C779" s="4" t="s">
        <v>32</v>
      </c>
      <c r="D779" s="4" t="s">
        <v>15</v>
      </c>
      <c r="E779" s="4" t="s">
        <v>25</v>
      </c>
    </row>
    <row r="780" spans="1:5" ht="14.25" customHeight="1" x14ac:dyDescent="0.3">
      <c r="A780" s="4" t="s">
        <v>21</v>
      </c>
      <c r="B780" s="4" t="s">
        <v>22</v>
      </c>
      <c r="C780" s="4" t="s">
        <v>14</v>
      </c>
      <c r="D780" s="4" t="s">
        <v>15</v>
      </c>
      <c r="E780" s="4" t="s">
        <v>25</v>
      </c>
    </row>
    <row r="781" spans="1:5" ht="14.25" customHeight="1" x14ac:dyDescent="0.3">
      <c r="A781" s="4" t="s">
        <v>21</v>
      </c>
      <c r="B781" s="4" t="s">
        <v>22</v>
      </c>
      <c r="C781" s="4" t="s">
        <v>14</v>
      </c>
      <c r="D781" s="4" t="s">
        <v>29</v>
      </c>
      <c r="E781" s="4" t="s">
        <v>16</v>
      </c>
    </row>
    <row r="782" spans="1:5" ht="14.25" customHeight="1" x14ac:dyDescent="0.3">
      <c r="A782" s="4" t="s">
        <v>23</v>
      </c>
      <c r="B782" s="4" t="s">
        <v>26</v>
      </c>
      <c r="C782" s="4" t="s">
        <v>14</v>
      </c>
      <c r="D782" s="4" t="s">
        <v>15</v>
      </c>
      <c r="E782" s="4" t="s">
        <v>25</v>
      </c>
    </row>
    <row r="783" spans="1:5" ht="14.25" customHeight="1" x14ac:dyDescent="0.3">
      <c r="A783" s="4" t="s">
        <v>46</v>
      </c>
      <c r="B783" s="4" t="s">
        <v>28</v>
      </c>
      <c r="C783" s="4" t="s">
        <v>14</v>
      </c>
      <c r="D783" s="4" t="s">
        <v>29</v>
      </c>
      <c r="E783" s="4" t="s">
        <v>16</v>
      </c>
    </row>
    <row r="784" spans="1:5" ht="14.25" customHeight="1" x14ac:dyDescent="0.3">
      <c r="A784" s="4" t="s">
        <v>41</v>
      </c>
      <c r="B784" s="4" t="s">
        <v>24</v>
      </c>
      <c r="C784" s="4" t="s">
        <v>14</v>
      </c>
      <c r="D784" s="4" t="s">
        <v>15</v>
      </c>
      <c r="E784" s="4" t="s">
        <v>16</v>
      </c>
    </row>
    <row r="785" spans="1:5" ht="14.25" customHeight="1" x14ac:dyDescent="0.3">
      <c r="A785" s="4" t="s">
        <v>21</v>
      </c>
      <c r="B785" s="4" t="s">
        <v>22</v>
      </c>
      <c r="C785" s="4" t="s">
        <v>14</v>
      </c>
      <c r="D785" s="4" t="s">
        <v>33</v>
      </c>
      <c r="E785" s="4" t="s">
        <v>25</v>
      </c>
    </row>
    <row r="786" spans="1:5" ht="14.25" customHeight="1" x14ac:dyDescent="0.3">
      <c r="A786" s="4" t="s">
        <v>46</v>
      </c>
      <c r="B786" s="4" t="s">
        <v>28</v>
      </c>
      <c r="C786" s="4" t="s">
        <v>14</v>
      </c>
      <c r="D786" s="4" t="s">
        <v>15</v>
      </c>
      <c r="E786" s="4" t="s">
        <v>16</v>
      </c>
    </row>
    <row r="787" spans="1:5" ht="14.25" customHeight="1" x14ac:dyDescent="0.3">
      <c r="A787" s="4" t="s">
        <v>17</v>
      </c>
      <c r="B787" s="4" t="s">
        <v>26</v>
      </c>
      <c r="C787" s="4" t="s">
        <v>32</v>
      </c>
      <c r="D787" s="4" t="s">
        <v>40</v>
      </c>
      <c r="E787" s="4" t="s">
        <v>25</v>
      </c>
    </row>
    <row r="788" spans="1:5" ht="14.25" customHeight="1" x14ac:dyDescent="0.3">
      <c r="A788" s="4" t="s">
        <v>53</v>
      </c>
      <c r="B788" s="4" t="s">
        <v>26</v>
      </c>
      <c r="C788" s="4" t="s">
        <v>14</v>
      </c>
      <c r="D788" s="4" t="s">
        <v>15</v>
      </c>
      <c r="E788" s="4" t="s">
        <v>25</v>
      </c>
    </row>
    <row r="789" spans="1:5" ht="14.25" customHeight="1" x14ac:dyDescent="0.3">
      <c r="A789" s="4" t="s">
        <v>21</v>
      </c>
      <c r="B789" s="4" t="s">
        <v>22</v>
      </c>
      <c r="C789" s="4" t="s">
        <v>14</v>
      </c>
      <c r="D789" s="4" t="s">
        <v>30</v>
      </c>
      <c r="E789" s="4" t="s">
        <v>25</v>
      </c>
    </row>
    <row r="790" spans="1:5" ht="14.25" customHeight="1" x14ac:dyDescent="0.3">
      <c r="A790" s="4" t="s">
        <v>17</v>
      </c>
      <c r="B790" s="4" t="s">
        <v>31</v>
      </c>
      <c r="C790" s="4" t="s">
        <v>32</v>
      </c>
      <c r="D790" s="4" t="s">
        <v>33</v>
      </c>
      <c r="E790" s="4" t="s">
        <v>16</v>
      </c>
    </row>
    <row r="791" spans="1:5" ht="14.25" customHeight="1" x14ac:dyDescent="0.3">
      <c r="A791" s="4" t="s">
        <v>41</v>
      </c>
      <c r="B791" s="4" t="s">
        <v>28</v>
      </c>
      <c r="C791" s="4" t="s">
        <v>14</v>
      </c>
      <c r="D791" s="4" t="s">
        <v>30</v>
      </c>
      <c r="E791" s="4" t="s">
        <v>25</v>
      </c>
    </row>
    <row r="792" spans="1:5" ht="14.25" customHeight="1" x14ac:dyDescent="0.3">
      <c r="A792" s="4" t="s">
        <v>38</v>
      </c>
      <c r="B792" s="4" t="s">
        <v>35</v>
      </c>
      <c r="C792" s="4" t="s">
        <v>32</v>
      </c>
      <c r="D792" s="4" t="s">
        <v>29</v>
      </c>
      <c r="E792" s="4" t="s">
        <v>16</v>
      </c>
    </row>
    <row r="793" spans="1:5" ht="14.25" customHeight="1" x14ac:dyDescent="0.3">
      <c r="A793" s="4" t="s">
        <v>21</v>
      </c>
      <c r="B793" s="4" t="s">
        <v>35</v>
      </c>
      <c r="C793" s="4" t="s">
        <v>14</v>
      </c>
      <c r="D793" s="4" t="s">
        <v>20</v>
      </c>
      <c r="E793" s="4" t="s">
        <v>16</v>
      </c>
    </row>
    <row r="794" spans="1:5" ht="14.25" customHeight="1" x14ac:dyDescent="0.3">
      <c r="A794" s="4" t="s">
        <v>21</v>
      </c>
      <c r="B794" s="4" t="s">
        <v>22</v>
      </c>
      <c r="C794" s="4" t="s">
        <v>14</v>
      </c>
      <c r="D794" s="4" t="s">
        <v>30</v>
      </c>
      <c r="E794" s="4" t="s">
        <v>25</v>
      </c>
    </row>
    <row r="795" spans="1:5" ht="14.25" customHeight="1" x14ac:dyDescent="0.3">
      <c r="A795" s="4" t="s">
        <v>42</v>
      </c>
      <c r="B795" s="4" t="s">
        <v>26</v>
      </c>
      <c r="C795" s="4" t="s">
        <v>14</v>
      </c>
      <c r="D795" s="4" t="s">
        <v>15</v>
      </c>
      <c r="E795" s="4" t="s">
        <v>16</v>
      </c>
    </row>
    <row r="796" spans="1:5" ht="14.25" customHeight="1" x14ac:dyDescent="0.3">
      <c r="A796" s="4" t="s">
        <v>21</v>
      </c>
      <c r="B796" s="4" t="s">
        <v>22</v>
      </c>
      <c r="C796" s="4" t="s">
        <v>32</v>
      </c>
      <c r="D796" s="4" t="s">
        <v>33</v>
      </c>
      <c r="E796" s="4" t="s">
        <v>16</v>
      </c>
    </row>
    <row r="797" spans="1:5" ht="14.25" customHeight="1" x14ac:dyDescent="0.3">
      <c r="A797" s="4" t="s">
        <v>21</v>
      </c>
      <c r="B797" s="4" t="s">
        <v>26</v>
      </c>
      <c r="C797" s="4" t="s">
        <v>32</v>
      </c>
      <c r="D797" s="4" t="s">
        <v>20</v>
      </c>
      <c r="E797" s="4" t="s">
        <v>16</v>
      </c>
    </row>
    <row r="798" spans="1:5" ht="14.25" customHeight="1" x14ac:dyDescent="0.3">
      <c r="A798" s="4" t="s">
        <v>21</v>
      </c>
      <c r="B798" s="4" t="s">
        <v>22</v>
      </c>
      <c r="C798" s="4" t="s">
        <v>14</v>
      </c>
      <c r="D798" s="4" t="s">
        <v>33</v>
      </c>
      <c r="E798" s="4" t="s">
        <v>25</v>
      </c>
    </row>
    <row r="799" spans="1:5" ht="14.25" customHeight="1" x14ac:dyDescent="0.3">
      <c r="A799" s="4" t="s">
        <v>27</v>
      </c>
      <c r="B799" s="4" t="s">
        <v>28</v>
      </c>
      <c r="C799" s="4" t="s">
        <v>14</v>
      </c>
      <c r="D799" s="4" t="s">
        <v>29</v>
      </c>
      <c r="E799" s="4" t="s">
        <v>16</v>
      </c>
    </row>
    <row r="800" spans="1:5" ht="14.25" customHeight="1" x14ac:dyDescent="0.3">
      <c r="A800" s="4" t="s">
        <v>56</v>
      </c>
      <c r="B800" s="4" t="s">
        <v>35</v>
      </c>
      <c r="C800" s="4" t="s">
        <v>32</v>
      </c>
      <c r="D800" s="4" t="s">
        <v>29</v>
      </c>
      <c r="E800" s="4" t="s">
        <v>16</v>
      </c>
    </row>
    <row r="801" spans="1:5" ht="14.25" customHeight="1" x14ac:dyDescent="0.3">
      <c r="A801" s="4" t="s">
        <v>41</v>
      </c>
      <c r="B801" s="4" t="s">
        <v>24</v>
      </c>
      <c r="C801" s="4" t="s">
        <v>14</v>
      </c>
      <c r="D801" s="4" t="s">
        <v>15</v>
      </c>
      <c r="E801" s="4" t="s">
        <v>25</v>
      </c>
    </row>
    <row r="802" spans="1:5" ht="14.25" customHeight="1" x14ac:dyDescent="0.3">
      <c r="A802" s="4" t="s">
        <v>21</v>
      </c>
      <c r="B802" s="4" t="s">
        <v>22</v>
      </c>
      <c r="C802" s="4" t="s">
        <v>14</v>
      </c>
      <c r="D802" s="4" t="s">
        <v>20</v>
      </c>
      <c r="E802" s="4" t="s">
        <v>16</v>
      </c>
    </row>
    <row r="803" spans="1:5" ht="14.25" customHeight="1" x14ac:dyDescent="0.3">
      <c r="A803" s="4" t="s">
        <v>23</v>
      </c>
      <c r="B803" s="4" t="s">
        <v>28</v>
      </c>
      <c r="C803" s="4" t="s">
        <v>14</v>
      </c>
      <c r="D803" s="4" t="s">
        <v>15</v>
      </c>
      <c r="E803" s="4" t="s">
        <v>25</v>
      </c>
    </row>
    <row r="804" spans="1:5" ht="14.25" customHeight="1" x14ac:dyDescent="0.3">
      <c r="A804" s="4" t="s">
        <v>23</v>
      </c>
      <c r="B804" s="4" t="s">
        <v>26</v>
      </c>
      <c r="C804" s="4" t="s">
        <v>14</v>
      </c>
      <c r="D804" s="4" t="s">
        <v>29</v>
      </c>
      <c r="E804" s="4" t="s">
        <v>25</v>
      </c>
    </row>
    <row r="805" spans="1:5" ht="14.25" customHeight="1" x14ac:dyDescent="0.3">
      <c r="A805" s="4" t="s">
        <v>12</v>
      </c>
      <c r="B805" s="4" t="s">
        <v>35</v>
      </c>
      <c r="C805" s="4" t="s">
        <v>14</v>
      </c>
      <c r="D805" s="4" t="s">
        <v>30</v>
      </c>
      <c r="E805" s="4" t="s">
        <v>16</v>
      </c>
    </row>
    <row r="806" spans="1:5" ht="14.25" customHeight="1" x14ac:dyDescent="0.3">
      <c r="A806" s="4" t="s">
        <v>23</v>
      </c>
      <c r="B806" s="4" t="s">
        <v>26</v>
      </c>
      <c r="C806" s="4" t="s">
        <v>14</v>
      </c>
      <c r="D806" s="4" t="s">
        <v>30</v>
      </c>
      <c r="E806" s="4" t="s">
        <v>25</v>
      </c>
    </row>
    <row r="807" spans="1:5" ht="14.25" customHeight="1" x14ac:dyDescent="0.3">
      <c r="A807" s="4" t="s">
        <v>27</v>
      </c>
      <c r="B807" s="4" t="s">
        <v>28</v>
      </c>
      <c r="C807" s="4" t="s">
        <v>14</v>
      </c>
      <c r="D807" s="4" t="s">
        <v>36</v>
      </c>
      <c r="E807" s="4" t="s">
        <v>16</v>
      </c>
    </row>
    <row r="808" spans="1:5" ht="14.25" customHeight="1" x14ac:dyDescent="0.3">
      <c r="A808" s="4" t="s">
        <v>44</v>
      </c>
      <c r="B808" s="4" t="s">
        <v>22</v>
      </c>
      <c r="C808" s="4" t="s">
        <v>32</v>
      </c>
      <c r="D808" s="4" t="s">
        <v>40</v>
      </c>
      <c r="E808" s="4" t="s">
        <v>16</v>
      </c>
    </row>
    <row r="809" spans="1:5" ht="14.25" customHeight="1" x14ac:dyDescent="0.3">
      <c r="A809" s="4" t="s">
        <v>41</v>
      </c>
      <c r="B809" s="4" t="s">
        <v>28</v>
      </c>
      <c r="C809" s="4" t="s">
        <v>32</v>
      </c>
      <c r="D809" s="4" t="s">
        <v>15</v>
      </c>
      <c r="E809" s="4" t="s">
        <v>25</v>
      </c>
    </row>
    <row r="810" spans="1:5" ht="14.25" customHeight="1" x14ac:dyDescent="0.3">
      <c r="A810" s="4" t="s">
        <v>23</v>
      </c>
      <c r="B810" s="4" t="s">
        <v>28</v>
      </c>
      <c r="C810" s="4" t="s">
        <v>14</v>
      </c>
      <c r="D810" s="4" t="s">
        <v>29</v>
      </c>
      <c r="E810" s="4" t="s">
        <v>16</v>
      </c>
    </row>
    <row r="811" spans="1:5" ht="14.25" customHeight="1" x14ac:dyDescent="0.3">
      <c r="A811" s="4" t="s">
        <v>34</v>
      </c>
      <c r="B811" s="4" t="s">
        <v>35</v>
      </c>
      <c r="C811" s="4" t="s">
        <v>14</v>
      </c>
      <c r="D811" s="4" t="s">
        <v>29</v>
      </c>
      <c r="E811" s="4" t="s">
        <v>25</v>
      </c>
    </row>
    <row r="812" spans="1:5" ht="14.25" customHeight="1" x14ac:dyDescent="0.3">
      <c r="A812" s="4" t="s">
        <v>46</v>
      </c>
      <c r="B812" s="4" t="s">
        <v>24</v>
      </c>
      <c r="C812" s="4" t="s">
        <v>14</v>
      </c>
      <c r="D812" s="4" t="s">
        <v>30</v>
      </c>
      <c r="E812" s="4" t="s">
        <v>25</v>
      </c>
    </row>
    <row r="813" spans="1:5" ht="14.25" customHeight="1" x14ac:dyDescent="0.3">
      <c r="A813" s="4" t="s">
        <v>27</v>
      </c>
      <c r="B813" s="4" t="s">
        <v>28</v>
      </c>
      <c r="C813" s="4" t="s">
        <v>14</v>
      </c>
      <c r="D813" s="4" t="s">
        <v>29</v>
      </c>
      <c r="E813" s="4" t="s">
        <v>16</v>
      </c>
    </row>
    <row r="814" spans="1:5" ht="14.25" customHeight="1" x14ac:dyDescent="0.3">
      <c r="A814" s="4" t="s">
        <v>21</v>
      </c>
      <c r="B814" s="4" t="s">
        <v>31</v>
      </c>
      <c r="C814" s="4" t="s">
        <v>14</v>
      </c>
      <c r="D814" s="4" t="s">
        <v>20</v>
      </c>
      <c r="E814" s="4" t="s">
        <v>25</v>
      </c>
    </row>
    <row r="815" spans="1:5" ht="14.25" customHeight="1" x14ac:dyDescent="0.3">
      <c r="A815" s="4" t="s">
        <v>55</v>
      </c>
      <c r="B815" s="4" t="s">
        <v>13</v>
      </c>
      <c r="C815" s="4" t="s">
        <v>49</v>
      </c>
      <c r="D815" s="4" t="s">
        <v>30</v>
      </c>
      <c r="E815" s="4" t="s">
        <v>25</v>
      </c>
    </row>
    <row r="816" spans="1:5" ht="14.25" customHeight="1" x14ac:dyDescent="0.3">
      <c r="A816" s="4" t="s">
        <v>23</v>
      </c>
      <c r="B816" s="4" t="s">
        <v>26</v>
      </c>
      <c r="C816" s="4" t="s">
        <v>14</v>
      </c>
      <c r="D816" s="4" t="s">
        <v>15</v>
      </c>
      <c r="E816" s="4" t="s">
        <v>16</v>
      </c>
    </row>
    <row r="817" spans="1:5" ht="14.25" customHeight="1" x14ac:dyDescent="0.3">
      <c r="A817" s="4" t="s">
        <v>27</v>
      </c>
      <c r="B817" s="4" t="s">
        <v>28</v>
      </c>
      <c r="C817" s="4" t="s">
        <v>14</v>
      </c>
      <c r="D817" s="4" t="s">
        <v>29</v>
      </c>
      <c r="E817" s="4" t="s">
        <v>25</v>
      </c>
    </row>
    <row r="818" spans="1:5" ht="14.25" customHeight="1" x14ac:dyDescent="0.3">
      <c r="A818" s="4" t="s">
        <v>34</v>
      </c>
      <c r="B818" s="4" t="s">
        <v>35</v>
      </c>
      <c r="C818" s="4" t="s">
        <v>14</v>
      </c>
      <c r="D818" s="4" t="s">
        <v>30</v>
      </c>
      <c r="E818" s="4" t="s">
        <v>25</v>
      </c>
    </row>
    <row r="819" spans="1:5" ht="14.25" customHeight="1" x14ac:dyDescent="0.3">
      <c r="A819" s="4" t="s">
        <v>44</v>
      </c>
      <c r="B819" s="4" t="s">
        <v>26</v>
      </c>
      <c r="C819" s="4" t="s">
        <v>14</v>
      </c>
      <c r="D819" s="4" t="s">
        <v>33</v>
      </c>
      <c r="E819" s="4" t="s">
        <v>16</v>
      </c>
    </row>
    <row r="820" spans="1:5" ht="14.25" customHeight="1" x14ac:dyDescent="0.3">
      <c r="A820" s="4" t="s">
        <v>21</v>
      </c>
      <c r="B820" s="4" t="s">
        <v>26</v>
      </c>
      <c r="C820" s="4" t="s">
        <v>14</v>
      </c>
      <c r="D820" s="4" t="s">
        <v>20</v>
      </c>
      <c r="E820" s="4" t="s">
        <v>25</v>
      </c>
    </row>
    <row r="821" spans="1:5" ht="14.25" customHeight="1" x14ac:dyDescent="0.3">
      <c r="A821" s="4" t="s">
        <v>27</v>
      </c>
      <c r="B821" s="4" t="s">
        <v>28</v>
      </c>
      <c r="C821" s="4" t="s">
        <v>14</v>
      </c>
      <c r="D821" s="4" t="s">
        <v>36</v>
      </c>
      <c r="E821" s="4" t="s">
        <v>16</v>
      </c>
    </row>
    <row r="822" spans="1:5" ht="14.25" customHeight="1" x14ac:dyDescent="0.3">
      <c r="A822" s="4" t="s">
        <v>21</v>
      </c>
      <c r="B822" s="4" t="s">
        <v>22</v>
      </c>
      <c r="C822" s="4" t="s">
        <v>14</v>
      </c>
      <c r="D822" s="4" t="s">
        <v>20</v>
      </c>
      <c r="E822" s="4" t="s">
        <v>25</v>
      </c>
    </row>
    <row r="823" spans="1:5" ht="14.25" customHeight="1" x14ac:dyDescent="0.3">
      <c r="A823" s="4" t="s">
        <v>65</v>
      </c>
      <c r="B823" s="4" t="s">
        <v>66</v>
      </c>
      <c r="C823" s="4" t="s">
        <v>14</v>
      </c>
      <c r="D823" s="4" t="s">
        <v>29</v>
      </c>
      <c r="E823" s="4" t="s">
        <v>16</v>
      </c>
    </row>
    <row r="824" spans="1:5" ht="14.25" customHeight="1" x14ac:dyDescent="0.3">
      <c r="A824" s="4" t="s">
        <v>23</v>
      </c>
      <c r="B824" s="4" t="s">
        <v>35</v>
      </c>
      <c r="C824" s="4" t="s">
        <v>14</v>
      </c>
      <c r="D824" s="4" t="s">
        <v>20</v>
      </c>
      <c r="E824" s="4" t="s">
        <v>25</v>
      </c>
    </row>
    <row r="825" spans="1:5" ht="14.25" customHeight="1" x14ac:dyDescent="0.3">
      <c r="A825" s="4" t="s">
        <v>21</v>
      </c>
      <c r="B825" s="4" t="s">
        <v>31</v>
      </c>
      <c r="C825" s="4" t="s">
        <v>14</v>
      </c>
      <c r="D825" s="4" t="s">
        <v>20</v>
      </c>
      <c r="E825" s="4" t="s">
        <v>25</v>
      </c>
    </row>
    <row r="826" spans="1:5" ht="14.25" customHeight="1" x14ac:dyDescent="0.3">
      <c r="A826" s="4" t="s">
        <v>23</v>
      </c>
      <c r="B826" s="4" t="s">
        <v>26</v>
      </c>
      <c r="C826" s="4" t="s">
        <v>14</v>
      </c>
      <c r="D826" s="4" t="s">
        <v>15</v>
      </c>
      <c r="E826" s="4" t="s">
        <v>16</v>
      </c>
    </row>
    <row r="827" spans="1:5" ht="14.25" customHeight="1" x14ac:dyDescent="0.3">
      <c r="A827" s="4" t="s">
        <v>44</v>
      </c>
      <c r="B827" s="4" t="s">
        <v>22</v>
      </c>
      <c r="C827" s="4" t="s">
        <v>14</v>
      </c>
      <c r="D827" s="4" t="s">
        <v>40</v>
      </c>
      <c r="E827" s="4" t="s">
        <v>25</v>
      </c>
    </row>
    <row r="828" spans="1:5" ht="14.25" customHeight="1" x14ac:dyDescent="0.3">
      <c r="A828" s="4" t="s">
        <v>34</v>
      </c>
      <c r="B828" s="4" t="s">
        <v>35</v>
      </c>
      <c r="C828" s="4" t="s">
        <v>14</v>
      </c>
      <c r="D828" s="4" t="s">
        <v>30</v>
      </c>
      <c r="E828" s="4" t="s">
        <v>25</v>
      </c>
    </row>
    <row r="829" spans="1:5" ht="14.25" customHeight="1" x14ac:dyDescent="0.3">
      <c r="A829" s="4" t="s">
        <v>21</v>
      </c>
      <c r="B829" s="4" t="s">
        <v>43</v>
      </c>
      <c r="C829" s="4" t="s">
        <v>14</v>
      </c>
      <c r="D829" s="4" t="s">
        <v>15</v>
      </c>
      <c r="E829" s="4" t="s">
        <v>16</v>
      </c>
    </row>
    <row r="830" spans="1:5" ht="14.25" customHeight="1" x14ac:dyDescent="0.3">
      <c r="A830" s="4" t="s">
        <v>21</v>
      </c>
      <c r="B830" s="4" t="s">
        <v>22</v>
      </c>
      <c r="C830" s="4" t="s">
        <v>14</v>
      </c>
      <c r="D830" s="4" t="s">
        <v>20</v>
      </c>
      <c r="E830" s="4" t="s">
        <v>16</v>
      </c>
    </row>
    <row r="831" spans="1:5" ht="14.25" customHeight="1" x14ac:dyDescent="0.3">
      <c r="A831" s="4" t="s">
        <v>27</v>
      </c>
      <c r="B831" s="4" t="s">
        <v>35</v>
      </c>
      <c r="C831" s="4" t="s">
        <v>14</v>
      </c>
      <c r="D831" s="4" t="s">
        <v>15</v>
      </c>
      <c r="E831" s="4" t="s">
        <v>16</v>
      </c>
    </row>
    <row r="832" spans="1:5" ht="14.25" customHeight="1" x14ac:dyDescent="0.3">
      <c r="A832" s="4" t="s">
        <v>21</v>
      </c>
      <c r="B832" s="4" t="s">
        <v>26</v>
      </c>
      <c r="C832" s="4" t="s">
        <v>14</v>
      </c>
      <c r="D832" s="4" t="s">
        <v>29</v>
      </c>
      <c r="E832" s="4" t="s">
        <v>25</v>
      </c>
    </row>
    <row r="833" spans="1:5" ht="14.25" customHeight="1" x14ac:dyDescent="0.3">
      <c r="A833" s="4" t="s">
        <v>27</v>
      </c>
      <c r="B833" s="4" t="s">
        <v>28</v>
      </c>
      <c r="C833" s="4" t="s">
        <v>14</v>
      </c>
      <c r="D833" s="4" t="s">
        <v>29</v>
      </c>
      <c r="E833" s="4" t="s">
        <v>16</v>
      </c>
    </row>
    <row r="834" spans="1:5" ht="14.25" customHeight="1" x14ac:dyDescent="0.3">
      <c r="A834" s="4" t="s">
        <v>17</v>
      </c>
      <c r="B834" s="4" t="s">
        <v>26</v>
      </c>
      <c r="C834" s="4" t="s">
        <v>32</v>
      </c>
      <c r="D834" s="4" t="s">
        <v>40</v>
      </c>
      <c r="E834" s="4" t="s">
        <v>16</v>
      </c>
    </row>
    <row r="835" spans="1:5" ht="14.25" customHeight="1" x14ac:dyDescent="0.3">
      <c r="A835" s="4" t="s">
        <v>21</v>
      </c>
      <c r="B835" s="4" t="s">
        <v>26</v>
      </c>
      <c r="C835" s="4" t="s">
        <v>14</v>
      </c>
      <c r="D835" s="4" t="s">
        <v>15</v>
      </c>
      <c r="E835" s="4" t="s">
        <v>25</v>
      </c>
    </row>
    <row r="836" spans="1:5" ht="14.25" customHeight="1" x14ac:dyDescent="0.3">
      <c r="A836" s="4" t="s">
        <v>47</v>
      </c>
      <c r="B836" s="4" t="s">
        <v>28</v>
      </c>
      <c r="C836" s="4" t="s">
        <v>14</v>
      </c>
      <c r="D836" s="4" t="s">
        <v>30</v>
      </c>
      <c r="E836" s="4" t="s">
        <v>16</v>
      </c>
    </row>
    <row r="837" spans="1:5" ht="14.25" customHeight="1" x14ac:dyDescent="0.3">
      <c r="A837" s="4" t="s">
        <v>21</v>
      </c>
      <c r="B837" s="4" t="s">
        <v>26</v>
      </c>
      <c r="C837" s="4" t="s">
        <v>14</v>
      </c>
      <c r="D837" s="4" t="s">
        <v>15</v>
      </c>
      <c r="E837" s="4" t="s">
        <v>16</v>
      </c>
    </row>
    <row r="838" spans="1:5" ht="14.25" customHeight="1" x14ac:dyDescent="0.3">
      <c r="A838" s="4" t="s">
        <v>17</v>
      </c>
      <c r="B838" s="4" t="s">
        <v>31</v>
      </c>
      <c r="C838" s="4" t="s">
        <v>32</v>
      </c>
      <c r="D838" s="4" t="s">
        <v>20</v>
      </c>
      <c r="E838" s="4" t="s">
        <v>16</v>
      </c>
    </row>
    <row r="839" spans="1:5" ht="14.25" customHeight="1" x14ac:dyDescent="0.3">
      <c r="A839" s="4" t="s">
        <v>21</v>
      </c>
      <c r="B839" s="4" t="s">
        <v>22</v>
      </c>
      <c r="C839" s="4" t="s">
        <v>19</v>
      </c>
      <c r="D839" s="4" t="s">
        <v>20</v>
      </c>
      <c r="E839" s="4" t="s">
        <v>25</v>
      </c>
    </row>
    <row r="840" spans="1:5" ht="14.25" customHeight="1" x14ac:dyDescent="0.3">
      <c r="A840" s="4" t="s">
        <v>27</v>
      </c>
      <c r="B840" s="4" t="s">
        <v>28</v>
      </c>
      <c r="C840" s="4" t="s">
        <v>14</v>
      </c>
      <c r="D840" s="4" t="s">
        <v>29</v>
      </c>
      <c r="E840" s="4" t="s">
        <v>16</v>
      </c>
    </row>
    <row r="841" spans="1:5" ht="14.25" customHeight="1" x14ac:dyDescent="0.3">
      <c r="A841" s="4" t="s">
        <v>41</v>
      </c>
      <c r="B841" s="4" t="s">
        <v>28</v>
      </c>
      <c r="C841" s="4" t="s">
        <v>14</v>
      </c>
      <c r="D841" s="4" t="s">
        <v>15</v>
      </c>
      <c r="E841" s="4" t="s">
        <v>25</v>
      </c>
    </row>
    <row r="842" spans="1:5" ht="14.25" customHeight="1" x14ac:dyDescent="0.3">
      <c r="A842" s="4" t="s">
        <v>27</v>
      </c>
      <c r="B842" s="4" t="s">
        <v>28</v>
      </c>
      <c r="C842" s="4" t="s">
        <v>32</v>
      </c>
      <c r="D842" s="4" t="s">
        <v>15</v>
      </c>
      <c r="E842" s="4" t="s">
        <v>16</v>
      </c>
    </row>
    <row r="843" spans="1:5" ht="14.25" customHeight="1" x14ac:dyDescent="0.3">
      <c r="A843" s="4" t="s">
        <v>12</v>
      </c>
      <c r="B843" s="4" t="s">
        <v>26</v>
      </c>
      <c r="C843" s="4" t="s">
        <v>14</v>
      </c>
      <c r="D843" s="4" t="s">
        <v>29</v>
      </c>
      <c r="E843" s="4" t="s">
        <v>16</v>
      </c>
    </row>
    <row r="844" spans="1:5" ht="14.25" customHeight="1" x14ac:dyDescent="0.3">
      <c r="A844" s="4" t="s">
        <v>23</v>
      </c>
      <c r="B844" s="4" t="s">
        <v>26</v>
      </c>
      <c r="C844" s="4" t="s">
        <v>14</v>
      </c>
      <c r="D844" s="4" t="s">
        <v>15</v>
      </c>
      <c r="E844" s="4" t="s">
        <v>16</v>
      </c>
    </row>
    <row r="845" spans="1:5" ht="14.25" customHeight="1" x14ac:dyDescent="0.3">
      <c r="A845" s="4" t="s">
        <v>17</v>
      </c>
      <c r="B845" s="4" t="s">
        <v>26</v>
      </c>
      <c r="C845" s="4" t="s">
        <v>19</v>
      </c>
      <c r="D845" s="4" t="s">
        <v>20</v>
      </c>
      <c r="E845" s="4" t="s">
        <v>16</v>
      </c>
    </row>
    <row r="846" spans="1:5" ht="14.25" customHeight="1" x14ac:dyDescent="0.3">
      <c r="A846" s="4" t="s">
        <v>54</v>
      </c>
      <c r="B846" s="4" t="s">
        <v>28</v>
      </c>
      <c r="C846" s="4" t="s">
        <v>14</v>
      </c>
      <c r="D846" s="4" t="s">
        <v>33</v>
      </c>
      <c r="E846" s="4" t="s">
        <v>25</v>
      </c>
    </row>
    <row r="847" spans="1:5" ht="14.25" customHeight="1" x14ac:dyDescent="0.3">
      <c r="A847" s="4" t="s">
        <v>23</v>
      </c>
      <c r="B847" s="4" t="s">
        <v>26</v>
      </c>
      <c r="C847" s="4" t="s">
        <v>14</v>
      </c>
      <c r="D847" s="4" t="s">
        <v>15</v>
      </c>
      <c r="E847" s="4" t="s">
        <v>16</v>
      </c>
    </row>
    <row r="848" spans="1:5" ht="14.25" customHeight="1" x14ac:dyDescent="0.3">
      <c r="A848" s="4" t="s">
        <v>21</v>
      </c>
      <c r="B848" s="4" t="s">
        <v>26</v>
      </c>
      <c r="C848" s="4" t="s">
        <v>14</v>
      </c>
      <c r="D848" s="4" t="s">
        <v>20</v>
      </c>
      <c r="E848" s="4" t="s">
        <v>16</v>
      </c>
    </row>
    <row r="849" spans="1:5" ht="14.25" customHeight="1" x14ac:dyDescent="0.3">
      <c r="A849" s="4" t="s">
        <v>34</v>
      </c>
      <c r="B849" s="4" t="s">
        <v>35</v>
      </c>
      <c r="C849" s="4" t="s">
        <v>14</v>
      </c>
      <c r="D849" s="4" t="s">
        <v>29</v>
      </c>
      <c r="E849" s="4" t="s">
        <v>25</v>
      </c>
    </row>
    <row r="850" spans="1:5" ht="14.25" customHeight="1" x14ac:dyDescent="0.3">
      <c r="A850" s="4" t="s">
        <v>21</v>
      </c>
      <c r="B850" s="4" t="s">
        <v>22</v>
      </c>
      <c r="C850" s="4" t="s">
        <v>14</v>
      </c>
      <c r="D850" s="4" t="s">
        <v>29</v>
      </c>
      <c r="E850" s="4" t="s">
        <v>25</v>
      </c>
    </row>
    <row r="851" spans="1:5" ht="14.25" customHeight="1" x14ac:dyDescent="0.3">
      <c r="A851" s="4" t="s">
        <v>23</v>
      </c>
      <c r="B851" s="4" t="s">
        <v>39</v>
      </c>
      <c r="C851" s="4" t="s">
        <v>14</v>
      </c>
      <c r="D851" s="4" t="s">
        <v>30</v>
      </c>
      <c r="E851" s="4" t="s">
        <v>16</v>
      </c>
    </row>
    <row r="852" spans="1:5" ht="14.25" customHeight="1" x14ac:dyDescent="0.3">
      <c r="A852" s="4" t="s">
        <v>27</v>
      </c>
      <c r="B852" s="4" t="s">
        <v>28</v>
      </c>
      <c r="C852" s="4" t="s">
        <v>14</v>
      </c>
      <c r="D852" s="4" t="s">
        <v>29</v>
      </c>
      <c r="E852" s="4" t="s">
        <v>16</v>
      </c>
    </row>
    <row r="853" spans="1:5" ht="14.25" customHeight="1" x14ac:dyDescent="0.3">
      <c r="A853" s="4" t="s">
        <v>21</v>
      </c>
      <c r="B853" s="4" t="s">
        <v>22</v>
      </c>
      <c r="C853" s="4" t="s">
        <v>14</v>
      </c>
      <c r="D853" s="4" t="s">
        <v>15</v>
      </c>
      <c r="E853" s="4" t="s">
        <v>25</v>
      </c>
    </row>
    <row r="854" spans="1:5" ht="14.25" customHeight="1" x14ac:dyDescent="0.3">
      <c r="A854" s="4" t="s">
        <v>41</v>
      </c>
      <c r="B854" s="4" t="s">
        <v>28</v>
      </c>
      <c r="C854" s="4" t="s">
        <v>32</v>
      </c>
      <c r="D854" s="4" t="s">
        <v>15</v>
      </c>
      <c r="E854" s="4" t="s">
        <v>25</v>
      </c>
    </row>
    <row r="855" spans="1:5" ht="14.25" customHeight="1" x14ac:dyDescent="0.3">
      <c r="A855" s="4" t="s">
        <v>27</v>
      </c>
      <c r="B855" s="4" t="s">
        <v>28</v>
      </c>
      <c r="C855" s="4" t="s">
        <v>14</v>
      </c>
      <c r="D855" s="4" t="s">
        <v>30</v>
      </c>
      <c r="E855" s="4" t="s">
        <v>25</v>
      </c>
    </row>
    <row r="856" spans="1:5" ht="14.25" customHeight="1" x14ac:dyDescent="0.3">
      <c r="A856" s="4" t="s">
        <v>17</v>
      </c>
      <c r="B856" s="4" t="s">
        <v>18</v>
      </c>
      <c r="C856" s="4" t="s">
        <v>49</v>
      </c>
      <c r="D856" s="4" t="s">
        <v>33</v>
      </c>
      <c r="E856" s="4" t="s">
        <v>16</v>
      </c>
    </row>
    <row r="857" spans="1:5" ht="14.25" customHeight="1" x14ac:dyDescent="0.3">
      <c r="A857" s="4" t="s">
        <v>21</v>
      </c>
      <c r="B857" s="4" t="s">
        <v>28</v>
      </c>
      <c r="C857" s="4" t="s">
        <v>14</v>
      </c>
      <c r="D857" s="4" t="s">
        <v>20</v>
      </c>
      <c r="E857" s="4" t="s">
        <v>25</v>
      </c>
    </row>
    <row r="858" spans="1:5" ht="14.25" customHeight="1" x14ac:dyDescent="0.3">
      <c r="A858" s="4" t="s">
        <v>17</v>
      </c>
      <c r="B858" s="4" t="s">
        <v>26</v>
      </c>
      <c r="C858" s="4" t="s">
        <v>32</v>
      </c>
      <c r="D858" s="4" t="s">
        <v>33</v>
      </c>
      <c r="E858" s="4" t="s">
        <v>16</v>
      </c>
    </row>
    <row r="859" spans="1:5" ht="14.25" customHeight="1" x14ac:dyDescent="0.3">
      <c r="A859" s="4" t="s">
        <v>23</v>
      </c>
      <c r="B859" s="4" t="s">
        <v>26</v>
      </c>
      <c r="C859" s="4" t="s">
        <v>14</v>
      </c>
      <c r="D859" s="4" t="s">
        <v>29</v>
      </c>
      <c r="E859" s="4" t="s">
        <v>25</v>
      </c>
    </row>
    <row r="860" spans="1:5" ht="14.25" customHeight="1" x14ac:dyDescent="0.3">
      <c r="A860" s="4" t="s">
        <v>52</v>
      </c>
      <c r="B860" s="4" t="s">
        <v>28</v>
      </c>
      <c r="C860" s="4" t="s">
        <v>32</v>
      </c>
      <c r="D860" s="4" t="s">
        <v>33</v>
      </c>
      <c r="E860" s="4" t="s">
        <v>25</v>
      </c>
    </row>
    <row r="861" spans="1:5" ht="14.25" customHeight="1" x14ac:dyDescent="0.3">
      <c r="A861" s="4" t="s">
        <v>41</v>
      </c>
      <c r="B861" s="4" t="s">
        <v>28</v>
      </c>
      <c r="C861" s="4" t="s">
        <v>14</v>
      </c>
      <c r="D861" s="4" t="s">
        <v>30</v>
      </c>
      <c r="E861" s="4" t="s">
        <v>25</v>
      </c>
    </row>
    <row r="862" spans="1:5" ht="14.25" customHeight="1" x14ac:dyDescent="0.3">
      <c r="A862" s="4" t="s">
        <v>27</v>
      </c>
      <c r="B862" s="4" t="s">
        <v>28</v>
      </c>
      <c r="C862" s="4" t="s">
        <v>14</v>
      </c>
      <c r="D862" s="4" t="s">
        <v>29</v>
      </c>
      <c r="E862" s="4" t="s">
        <v>16</v>
      </c>
    </row>
    <row r="863" spans="1:5" ht="14.25" customHeight="1" x14ac:dyDescent="0.3">
      <c r="A863" s="4" t="s">
        <v>34</v>
      </c>
      <c r="B863" s="4" t="s">
        <v>26</v>
      </c>
      <c r="C863" s="4" t="s">
        <v>14</v>
      </c>
      <c r="D863" s="4" t="s">
        <v>30</v>
      </c>
      <c r="E863" s="4" t="s">
        <v>25</v>
      </c>
    </row>
  </sheetData>
  <autoFilter ref="A1:E863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3D69B"/>
  </sheetPr>
  <dimension ref="A2:N25"/>
  <sheetViews>
    <sheetView showGridLines="0" tabSelected="1" zoomScale="130" zoomScaleNormal="130" workbookViewId="0">
      <selection activeCell="C12" sqref="C12"/>
    </sheetView>
  </sheetViews>
  <sheetFormatPr defaultColWidth="11.5546875" defaultRowHeight="14.4" outlineLevelCol="1" x14ac:dyDescent="0.3"/>
  <cols>
    <col min="1" max="1" width="11" style="4" customWidth="1"/>
    <col min="2" max="2" width="40.88671875" style="4" customWidth="1"/>
    <col min="3" max="3" width="27" style="6" customWidth="1"/>
    <col min="10" max="13" width="10.77734375" style="4" hidden="1" customWidth="1" outlineLevel="1"/>
    <col min="14" max="14" width="10.77734375" style="4" customWidth="1" collapsed="1"/>
  </cols>
  <sheetData>
    <row r="2" spans="2:13" ht="39.75" customHeight="1" x14ac:dyDescent="0.3">
      <c r="B2" s="60" t="s">
        <v>67</v>
      </c>
      <c r="C2" s="60"/>
      <c r="J2" s="7" t="s">
        <v>2</v>
      </c>
      <c r="K2" s="7" t="s">
        <v>4</v>
      </c>
      <c r="L2" s="7" t="s">
        <v>6</v>
      </c>
      <c r="M2" s="7" t="s">
        <v>8</v>
      </c>
    </row>
    <row r="3" spans="2:13" ht="14.25" customHeight="1" x14ac:dyDescent="0.3">
      <c r="J3" s="4" t="s">
        <v>21</v>
      </c>
      <c r="K3" s="4" t="s">
        <v>28</v>
      </c>
      <c r="L3" s="4" t="s">
        <v>32</v>
      </c>
      <c r="M3" s="4" t="s">
        <v>36</v>
      </c>
    </row>
    <row r="4" spans="2:13" ht="15" customHeight="1" x14ac:dyDescent="0.3">
      <c r="B4" s="61" t="s">
        <v>68</v>
      </c>
      <c r="C4" s="61"/>
      <c r="J4" s="4" t="s">
        <v>23</v>
      </c>
      <c r="K4" s="4" t="s">
        <v>26</v>
      </c>
      <c r="L4" s="4" t="s">
        <v>14</v>
      </c>
      <c r="M4" s="4" t="s">
        <v>40</v>
      </c>
    </row>
    <row r="5" spans="2:13" ht="14.25" customHeight="1" x14ac:dyDescent="0.3">
      <c r="J5" s="4" t="s">
        <v>27</v>
      </c>
      <c r="K5" s="4" t="s">
        <v>22</v>
      </c>
      <c r="L5" s="4" t="s">
        <v>49</v>
      </c>
      <c r="M5" s="4" t="s">
        <v>33</v>
      </c>
    </row>
    <row r="6" spans="2:13" ht="14.25" customHeight="1" x14ac:dyDescent="0.3">
      <c r="B6" s="7" t="s">
        <v>69</v>
      </c>
      <c r="C6" s="8" t="s">
        <v>70</v>
      </c>
      <c r="J6" s="4" t="s">
        <v>17</v>
      </c>
      <c r="K6" s="4" t="s">
        <v>35</v>
      </c>
      <c r="L6" s="4" t="s">
        <v>19</v>
      </c>
      <c r="M6" s="4" t="s">
        <v>20</v>
      </c>
    </row>
    <row r="7" spans="2:13" ht="14.25" customHeight="1" x14ac:dyDescent="0.3">
      <c r="J7" s="4" t="s">
        <v>70</v>
      </c>
      <c r="K7" s="4" t="s">
        <v>24</v>
      </c>
      <c r="M7" s="4" t="s">
        <v>15</v>
      </c>
    </row>
    <row r="8" spans="2:13" ht="14.25" customHeight="1" x14ac:dyDescent="0.3">
      <c r="B8" s="7" t="s">
        <v>71</v>
      </c>
      <c r="C8" s="8" t="s">
        <v>24</v>
      </c>
      <c r="J8" s="4" t="s">
        <v>44</v>
      </c>
      <c r="K8" s="4" t="s">
        <v>72</v>
      </c>
      <c r="M8" s="4" t="s">
        <v>30</v>
      </c>
    </row>
    <row r="9" spans="2:13" ht="14.25" customHeight="1" x14ac:dyDescent="0.3">
      <c r="J9" s="4" t="s">
        <v>41</v>
      </c>
      <c r="K9" s="4" t="s">
        <v>31</v>
      </c>
      <c r="M9" s="4" t="s">
        <v>29</v>
      </c>
    </row>
    <row r="10" spans="2:13" ht="14.25" customHeight="1" x14ac:dyDescent="0.3">
      <c r="B10" s="7" t="s">
        <v>73</v>
      </c>
      <c r="C10" s="8" t="s">
        <v>14</v>
      </c>
      <c r="J10" s="4" t="s">
        <v>46</v>
      </c>
      <c r="K10" s="4" t="s">
        <v>13</v>
      </c>
    </row>
    <row r="11" spans="2:13" ht="14.25" customHeight="1" x14ac:dyDescent="0.3">
      <c r="J11" s="4" t="s">
        <v>34</v>
      </c>
      <c r="K11" s="4" t="s">
        <v>18</v>
      </c>
    </row>
    <row r="12" spans="2:13" ht="14.25" customHeight="1" x14ac:dyDescent="0.3">
      <c r="B12" s="7" t="s">
        <v>74</v>
      </c>
      <c r="C12" s="8" t="s">
        <v>40</v>
      </c>
      <c r="J12" s="4" t="s">
        <v>55</v>
      </c>
    </row>
    <row r="13" spans="2:13" ht="14.25" customHeight="1" x14ac:dyDescent="0.3">
      <c r="J13" s="4" t="s">
        <v>12</v>
      </c>
    </row>
    <row r="14" spans="2:13" ht="14.25" customHeight="1" x14ac:dyDescent="0.3">
      <c r="J14" s="4" t="s">
        <v>42</v>
      </c>
    </row>
    <row r="15" spans="2:13" ht="15" customHeight="1" x14ac:dyDescent="0.3">
      <c r="B15" s="61" t="s">
        <v>75</v>
      </c>
      <c r="C15" s="61"/>
    </row>
    <row r="16" spans="2:13" ht="14.25" customHeight="1" x14ac:dyDescent="0.3"/>
    <row r="17" spans="2:11" ht="14.25" customHeight="1" x14ac:dyDescent="0.3">
      <c r="B17" s="7" t="s">
        <v>76</v>
      </c>
      <c r="C17" s="9">
        <v>150</v>
      </c>
      <c r="G17" s="6"/>
    </row>
    <row r="18" spans="2:11" ht="14.25" customHeight="1" x14ac:dyDescent="0.3"/>
    <row r="19" spans="2:11" ht="14.25" customHeight="1" x14ac:dyDescent="0.3"/>
    <row r="20" spans="2:11" ht="15" customHeight="1" x14ac:dyDescent="0.3">
      <c r="B20" s="62" t="s">
        <v>77</v>
      </c>
      <c r="C20" s="62"/>
    </row>
    <row r="21" spans="2:11" ht="14.25" customHeight="1" x14ac:dyDescent="0.3">
      <c r="K21" s="4" t="s">
        <v>35</v>
      </c>
    </row>
    <row r="22" spans="2:11" ht="14.25" customHeight="1" x14ac:dyDescent="0.3">
      <c r="B22" s="10" t="s">
        <v>78</v>
      </c>
      <c r="C22" s="11">
        <f>Análise!B155*(Análise!B153)+Análise!B156*(1-Análise!B153)*C17</f>
        <v>82661.907315390476</v>
      </c>
    </row>
    <row r="23" spans="2:11" ht="14.25" customHeight="1" x14ac:dyDescent="0.3"/>
    <row r="24" spans="2:11" ht="14.25" customHeight="1" x14ac:dyDescent="0.3">
      <c r="B24" s="10" t="s">
        <v>79</v>
      </c>
      <c r="C24" s="11">
        <f>C22*0.7</f>
        <v>57863.335120773329</v>
      </c>
    </row>
    <row r="25" spans="2:11" ht="14.25" customHeight="1" x14ac:dyDescent="0.3"/>
  </sheetData>
  <mergeCells count="4">
    <mergeCell ref="B2:C2"/>
    <mergeCell ref="B4:C4"/>
    <mergeCell ref="B15:C15"/>
    <mergeCell ref="B20:C20"/>
  </mergeCells>
  <conditionalFormatting sqref="C6">
    <cfRule type="expression" dxfId="6" priority="8">
      <formula>LEN(TRIM(C6))=0</formula>
    </cfRule>
  </conditionalFormatting>
  <conditionalFormatting sqref="C8">
    <cfRule type="expression" dxfId="5" priority="7">
      <formula>LEN(TRIM(C8))=0</formula>
    </cfRule>
  </conditionalFormatting>
  <conditionalFormatting sqref="C10">
    <cfRule type="expression" dxfId="4" priority="6">
      <formula>LEN(TRIM(C10))=0</formula>
    </cfRule>
  </conditionalFormatting>
  <conditionalFormatting sqref="C12">
    <cfRule type="expression" dxfId="3" priority="5">
      <formula>LEN(TRIM(C12))=0</formula>
    </cfRule>
  </conditionalFormatting>
  <conditionalFormatting sqref="C17">
    <cfRule type="expression" dxfId="2" priority="2">
      <formula>LEN(TRIM(C17))=0</formula>
    </cfRule>
  </conditionalFormatting>
  <conditionalFormatting sqref="C22">
    <cfRule type="expression" dxfId="1" priority="4">
      <formula>LEN(TRIM(C22))=0</formula>
    </cfRule>
  </conditionalFormatting>
  <conditionalFormatting sqref="C24">
    <cfRule type="expression" dxfId="0" priority="3">
      <formula>LEN(TRIM(C24))=0</formula>
    </cfRule>
  </conditionalFormatting>
  <dataValidations count="4">
    <dataValidation type="list" allowBlank="1" showInputMessage="1" showErrorMessage="1" sqref="C6" xr:uid="{00000000-0002-0000-0200-000000000000}">
      <formula1>$J$3:$J$25</formula1>
      <formula2>0</formula2>
    </dataValidation>
    <dataValidation type="list" allowBlank="1" showInputMessage="1" showErrorMessage="1" sqref="C8" xr:uid="{00000000-0002-0000-0200-000001000000}">
      <formula1>$K$3:$K$21</formula1>
      <formula2>0</formula2>
    </dataValidation>
    <dataValidation type="list" allowBlank="1" showInputMessage="1" showErrorMessage="1" sqref="C10" xr:uid="{00000000-0002-0000-0200-000002000000}">
      <formula1>$L$3:$L$6</formula1>
      <formula2>0</formula2>
    </dataValidation>
    <dataValidation type="list" allowBlank="1" showInputMessage="1" showErrorMessage="1" sqref="C12" xr:uid="{00000000-0002-0000-0200-000003000000}">
      <formula1>$M$3:$M$9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156"/>
  <sheetViews>
    <sheetView showGridLines="0" topLeftCell="A134" zoomScaleNormal="100" workbookViewId="0">
      <selection activeCell="A159" sqref="A159"/>
    </sheetView>
  </sheetViews>
  <sheetFormatPr defaultColWidth="8.6640625" defaultRowHeight="14.4" x14ac:dyDescent="0.3"/>
  <cols>
    <col min="1" max="1" width="44.44140625" style="4" customWidth="1"/>
    <col min="2" max="2" width="14" style="4" customWidth="1"/>
    <col min="3" max="3" width="16.33203125" style="4" customWidth="1"/>
    <col min="4" max="4" width="10.77734375" style="4" customWidth="1"/>
    <col min="5" max="5" width="10" style="4" customWidth="1"/>
    <col min="6" max="6" width="9.5546875" style="4" customWidth="1"/>
    <col min="7" max="7" width="26.33203125" style="4" customWidth="1"/>
    <col min="8" max="8" width="20.21875" style="4" customWidth="1"/>
    <col min="10" max="10" width="10" style="4" customWidth="1"/>
    <col min="11" max="11" width="9.109375" style="4" customWidth="1"/>
    <col min="12" max="12" width="26.33203125" style="4" customWidth="1"/>
    <col min="13" max="13" width="18.5546875" style="4" customWidth="1"/>
    <col min="15" max="15" width="10" style="4" customWidth="1"/>
    <col min="16" max="16" width="9.21875" style="4" customWidth="1"/>
    <col min="17" max="17" width="26.33203125" style="4" customWidth="1"/>
    <col min="18" max="18" width="18.5546875" style="4" customWidth="1"/>
    <col min="20" max="20" width="10" style="4" customWidth="1"/>
    <col min="21" max="21" width="25.6640625" style="4" customWidth="1"/>
    <col min="22" max="22" width="8.21875" style="4" customWidth="1"/>
    <col min="23" max="23" width="7.5546875" style="4" customWidth="1"/>
    <col min="24" max="24" width="12.21875" style="4" customWidth="1"/>
    <col min="25" max="25" width="8.109375" style="4" customWidth="1"/>
    <col min="26" max="26" width="10" style="4" customWidth="1"/>
  </cols>
  <sheetData>
    <row r="2" spans="2:20" ht="14.25" customHeight="1" x14ac:dyDescent="0.3">
      <c r="B2" s="12" t="s">
        <v>80</v>
      </c>
    </row>
    <row r="3" spans="2:20" ht="14.25" customHeight="1" x14ac:dyDescent="0.3">
      <c r="B3" s="13"/>
    </row>
    <row r="4" spans="2:20" ht="14.25" customHeight="1" x14ac:dyDescent="0.3">
      <c r="B4" s="12" t="s">
        <v>81</v>
      </c>
    </row>
    <row r="8" spans="2:20" ht="14.25" customHeight="1" x14ac:dyDescent="0.3">
      <c r="B8" s="14" t="s">
        <v>82</v>
      </c>
      <c r="C8" s="15" t="s">
        <v>10</v>
      </c>
      <c r="D8" s="16"/>
      <c r="E8" s="17"/>
      <c r="G8" s="14" t="s">
        <v>82</v>
      </c>
      <c r="H8" s="15" t="s">
        <v>10</v>
      </c>
      <c r="I8" s="16"/>
      <c r="J8" s="17"/>
      <c r="L8" s="14" t="s">
        <v>82</v>
      </c>
      <c r="M8" s="15" t="s">
        <v>10</v>
      </c>
      <c r="N8" s="16"/>
      <c r="O8" s="17"/>
      <c r="Q8" s="14" t="s">
        <v>82</v>
      </c>
      <c r="R8" s="15" t="s">
        <v>10</v>
      </c>
      <c r="S8" s="16"/>
      <c r="T8" s="17"/>
    </row>
    <row r="9" spans="2:20" ht="14.25" customHeight="1" x14ac:dyDescent="0.3">
      <c r="B9" s="18" t="s">
        <v>2</v>
      </c>
      <c r="C9" s="19" t="s">
        <v>25</v>
      </c>
      <c r="D9" s="20" t="s">
        <v>16</v>
      </c>
      <c r="E9" s="21" t="s">
        <v>83</v>
      </c>
      <c r="G9" s="18" t="s">
        <v>4</v>
      </c>
      <c r="H9" s="19" t="s">
        <v>25</v>
      </c>
      <c r="I9" s="20" t="s">
        <v>16</v>
      </c>
      <c r="J9" s="21" t="s">
        <v>83</v>
      </c>
      <c r="L9" s="18" t="s">
        <v>6</v>
      </c>
      <c r="M9" s="19" t="s">
        <v>25</v>
      </c>
      <c r="N9" s="20" t="s">
        <v>16</v>
      </c>
      <c r="O9" s="21" t="s">
        <v>83</v>
      </c>
      <c r="Q9" s="18" t="s">
        <v>8</v>
      </c>
      <c r="R9" s="19" t="s">
        <v>25</v>
      </c>
      <c r="S9" s="20" t="s">
        <v>16</v>
      </c>
      <c r="T9" s="21" t="s">
        <v>83</v>
      </c>
    </row>
    <row r="10" spans="2:20" ht="14.25" customHeight="1" x14ac:dyDescent="0.3">
      <c r="B10" s="22" t="s">
        <v>17</v>
      </c>
      <c r="C10" s="23">
        <v>40</v>
      </c>
      <c r="D10" s="24">
        <v>44</v>
      </c>
      <c r="E10" s="25">
        <v>84</v>
      </c>
      <c r="G10" s="22" t="s">
        <v>45</v>
      </c>
      <c r="H10" s="23"/>
      <c r="I10" s="24">
        <v>1</v>
      </c>
      <c r="J10" s="25">
        <v>1</v>
      </c>
      <c r="L10" s="22" t="s">
        <v>32</v>
      </c>
      <c r="M10" s="23">
        <v>59</v>
      </c>
      <c r="N10" s="24">
        <v>88</v>
      </c>
      <c r="O10" s="25">
        <v>147</v>
      </c>
      <c r="Q10" s="22" t="s">
        <v>36</v>
      </c>
      <c r="R10" s="23">
        <v>24</v>
      </c>
      <c r="S10" s="24">
        <v>14</v>
      </c>
      <c r="T10" s="25">
        <v>38</v>
      </c>
    </row>
    <row r="11" spans="2:20" ht="14.25" customHeight="1" x14ac:dyDescent="0.3">
      <c r="B11" s="26" t="s">
        <v>55</v>
      </c>
      <c r="C11" s="27">
        <v>5</v>
      </c>
      <c r="D11" s="28">
        <v>11</v>
      </c>
      <c r="E11" s="29">
        <v>16</v>
      </c>
      <c r="G11" s="26" t="s">
        <v>51</v>
      </c>
      <c r="H11" s="27">
        <v>1</v>
      </c>
      <c r="I11" s="28"/>
      <c r="J11" s="29">
        <v>1</v>
      </c>
      <c r="L11" s="26" t="s">
        <v>49</v>
      </c>
      <c r="M11" s="27">
        <v>3</v>
      </c>
      <c r="N11" s="28">
        <v>6</v>
      </c>
      <c r="O11" s="29">
        <v>9</v>
      </c>
      <c r="Q11" s="26" t="s">
        <v>20</v>
      </c>
      <c r="R11" s="27">
        <v>123</v>
      </c>
      <c r="S11" s="28">
        <v>81</v>
      </c>
      <c r="T11" s="29">
        <v>204</v>
      </c>
    </row>
    <row r="12" spans="2:20" ht="14.25" customHeight="1" x14ac:dyDescent="0.3">
      <c r="B12" s="26" t="s">
        <v>27</v>
      </c>
      <c r="C12" s="27">
        <v>18</v>
      </c>
      <c r="D12" s="28">
        <v>99</v>
      </c>
      <c r="E12" s="29">
        <v>117</v>
      </c>
      <c r="G12" s="26" t="s">
        <v>26</v>
      </c>
      <c r="H12" s="27">
        <v>97</v>
      </c>
      <c r="I12" s="28">
        <v>96</v>
      </c>
      <c r="J12" s="29">
        <v>193</v>
      </c>
      <c r="L12" s="26" t="s">
        <v>19</v>
      </c>
      <c r="M12" s="27">
        <v>24</v>
      </c>
      <c r="N12" s="28">
        <v>26</v>
      </c>
      <c r="O12" s="29">
        <v>50</v>
      </c>
      <c r="Q12" s="26" t="s">
        <v>15</v>
      </c>
      <c r="R12" s="27">
        <v>118</v>
      </c>
      <c r="S12" s="28">
        <v>85</v>
      </c>
      <c r="T12" s="29">
        <v>203</v>
      </c>
    </row>
    <row r="13" spans="2:20" ht="14.25" customHeight="1" x14ac:dyDescent="0.3">
      <c r="B13" s="26" t="s">
        <v>46</v>
      </c>
      <c r="C13" s="27">
        <v>16</v>
      </c>
      <c r="D13" s="28">
        <v>25</v>
      </c>
      <c r="E13" s="29">
        <v>41</v>
      </c>
      <c r="G13" s="26" t="s">
        <v>13</v>
      </c>
      <c r="H13" s="27">
        <v>4</v>
      </c>
      <c r="I13" s="28">
        <v>15</v>
      </c>
      <c r="J13" s="29">
        <v>19</v>
      </c>
      <c r="L13" s="26" t="s">
        <v>14</v>
      </c>
      <c r="M13" s="30">
        <v>358</v>
      </c>
      <c r="N13" s="31">
        <v>298</v>
      </c>
      <c r="O13" s="32">
        <v>656</v>
      </c>
      <c r="Q13" s="26" t="s">
        <v>30</v>
      </c>
      <c r="R13" s="27">
        <v>64</v>
      </c>
      <c r="S13" s="28">
        <v>80</v>
      </c>
      <c r="T13" s="29">
        <v>144</v>
      </c>
    </row>
    <row r="14" spans="2:20" ht="14.25" customHeight="1" x14ac:dyDescent="0.3">
      <c r="B14" s="26" t="s">
        <v>42</v>
      </c>
      <c r="C14" s="27">
        <v>5</v>
      </c>
      <c r="D14" s="28">
        <v>10</v>
      </c>
      <c r="E14" s="29">
        <v>15</v>
      </c>
      <c r="G14" s="26" t="s">
        <v>24</v>
      </c>
      <c r="H14" s="27">
        <v>41</v>
      </c>
      <c r="I14" s="28">
        <v>25</v>
      </c>
      <c r="J14" s="29">
        <v>66</v>
      </c>
      <c r="L14" s="33" t="s">
        <v>83</v>
      </c>
      <c r="M14" s="34">
        <v>444</v>
      </c>
      <c r="N14" s="35">
        <v>418</v>
      </c>
      <c r="O14" s="36">
        <v>862</v>
      </c>
      <c r="Q14" s="26" t="s">
        <v>29</v>
      </c>
      <c r="R14" s="27">
        <v>41</v>
      </c>
      <c r="S14" s="28">
        <v>102</v>
      </c>
      <c r="T14" s="29">
        <v>143</v>
      </c>
    </row>
    <row r="15" spans="2:20" ht="14.25" customHeight="1" x14ac:dyDescent="0.3">
      <c r="B15" s="26" t="s">
        <v>56</v>
      </c>
      <c r="C15" s="27"/>
      <c r="D15" s="28">
        <v>10</v>
      </c>
      <c r="E15" s="29">
        <v>10</v>
      </c>
      <c r="G15" s="26" t="s">
        <v>28</v>
      </c>
      <c r="H15" s="27">
        <v>76</v>
      </c>
      <c r="I15" s="28">
        <v>144</v>
      </c>
      <c r="J15" s="29">
        <v>220</v>
      </c>
      <c r="Q15" s="26" t="s">
        <v>40</v>
      </c>
      <c r="R15" s="27">
        <v>27</v>
      </c>
      <c r="S15" s="28">
        <v>21</v>
      </c>
      <c r="T15" s="29">
        <v>48</v>
      </c>
    </row>
    <row r="16" spans="2:20" ht="14.25" customHeight="1" x14ac:dyDescent="0.3">
      <c r="B16" s="26" t="s">
        <v>23</v>
      </c>
      <c r="C16" s="27">
        <v>68</v>
      </c>
      <c r="D16" s="28">
        <v>72</v>
      </c>
      <c r="E16" s="29">
        <v>140</v>
      </c>
      <c r="G16" s="26" t="s">
        <v>59</v>
      </c>
      <c r="H16" s="27"/>
      <c r="I16" s="28">
        <v>2</v>
      </c>
      <c r="J16" s="29">
        <v>2</v>
      </c>
      <c r="Q16" s="26" t="s">
        <v>33</v>
      </c>
      <c r="R16" s="30">
        <v>47</v>
      </c>
      <c r="S16" s="31">
        <v>35</v>
      </c>
      <c r="T16" s="32">
        <v>82</v>
      </c>
    </row>
    <row r="17" spans="2:20" ht="14.25" customHeight="1" x14ac:dyDescent="0.3">
      <c r="B17" s="26" t="s">
        <v>50</v>
      </c>
      <c r="C17" s="27">
        <v>4</v>
      </c>
      <c r="D17" s="28">
        <v>1</v>
      </c>
      <c r="E17" s="29">
        <v>5</v>
      </c>
      <c r="G17" s="26" t="s">
        <v>48</v>
      </c>
      <c r="H17" s="27">
        <v>7</v>
      </c>
      <c r="I17" s="28">
        <v>4</v>
      </c>
      <c r="J17" s="29">
        <v>11</v>
      </c>
      <c r="Q17" s="33" t="s">
        <v>83</v>
      </c>
      <c r="R17" s="34">
        <v>444</v>
      </c>
      <c r="S17" s="35">
        <v>418</v>
      </c>
      <c r="T17" s="36">
        <v>862</v>
      </c>
    </row>
    <row r="18" spans="2:20" ht="14.25" customHeight="1" x14ac:dyDescent="0.3">
      <c r="B18" s="26" t="s">
        <v>41</v>
      </c>
      <c r="C18" s="27">
        <v>37</v>
      </c>
      <c r="D18" s="28">
        <v>10</v>
      </c>
      <c r="E18" s="29">
        <v>47</v>
      </c>
      <c r="G18" s="26" t="s">
        <v>63</v>
      </c>
      <c r="H18" s="27">
        <v>1</v>
      </c>
      <c r="I18" s="28">
        <v>1</v>
      </c>
      <c r="J18" s="29">
        <v>2</v>
      </c>
    </row>
    <row r="19" spans="2:20" ht="14.25" customHeight="1" x14ac:dyDescent="0.3">
      <c r="B19" s="26" t="s">
        <v>53</v>
      </c>
      <c r="C19" s="27">
        <v>4</v>
      </c>
      <c r="D19" s="28">
        <v>6</v>
      </c>
      <c r="E19" s="29">
        <v>10</v>
      </c>
      <c r="G19" s="26" t="s">
        <v>62</v>
      </c>
      <c r="H19" s="27">
        <v>1</v>
      </c>
      <c r="I19" s="28"/>
      <c r="J19" s="29">
        <v>1</v>
      </c>
    </row>
    <row r="20" spans="2:20" ht="14.25" customHeight="1" x14ac:dyDescent="0.3">
      <c r="B20" s="26" t="s">
        <v>65</v>
      </c>
      <c r="C20" s="27"/>
      <c r="D20" s="28">
        <v>1</v>
      </c>
      <c r="E20" s="29">
        <v>1</v>
      </c>
      <c r="G20" s="26" t="s">
        <v>31</v>
      </c>
      <c r="H20" s="27">
        <v>19</v>
      </c>
      <c r="I20" s="28">
        <v>6</v>
      </c>
      <c r="J20" s="29">
        <v>25</v>
      </c>
    </row>
    <row r="21" spans="2:20" ht="14.25" customHeight="1" x14ac:dyDescent="0.3">
      <c r="B21" s="26" t="s">
        <v>54</v>
      </c>
      <c r="C21" s="27">
        <v>9</v>
      </c>
      <c r="D21" s="28">
        <v>1</v>
      </c>
      <c r="E21" s="29">
        <v>10</v>
      </c>
      <c r="G21" s="26" t="s">
        <v>35</v>
      </c>
      <c r="H21" s="27">
        <v>45</v>
      </c>
      <c r="I21" s="28">
        <v>44</v>
      </c>
      <c r="J21" s="29">
        <v>89</v>
      </c>
    </row>
    <row r="22" spans="2:20" ht="14.25" customHeight="1" x14ac:dyDescent="0.3">
      <c r="B22" s="26" t="s">
        <v>21</v>
      </c>
      <c r="C22" s="27">
        <v>164</v>
      </c>
      <c r="D22" s="28">
        <v>59</v>
      </c>
      <c r="E22" s="29">
        <v>223</v>
      </c>
      <c r="G22" s="26" t="s">
        <v>43</v>
      </c>
      <c r="H22" s="27">
        <v>3</v>
      </c>
      <c r="I22" s="28">
        <v>4</v>
      </c>
      <c r="J22" s="29">
        <v>7</v>
      </c>
    </row>
    <row r="23" spans="2:20" ht="14.25" customHeight="1" x14ac:dyDescent="0.3">
      <c r="B23" s="26" t="s">
        <v>60</v>
      </c>
      <c r="C23" s="27">
        <v>2</v>
      </c>
      <c r="D23" s="28"/>
      <c r="E23" s="29">
        <v>2</v>
      </c>
      <c r="G23" s="26" t="s">
        <v>39</v>
      </c>
      <c r="H23" s="27">
        <v>7</v>
      </c>
      <c r="I23" s="28">
        <v>5</v>
      </c>
      <c r="J23" s="29">
        <v>12</v>
      </c>
    </row>
    <row r="24" spans="2:20" ht="14.25" customHeight="1" x14ac:dyDescent="0.3">
      <c r="B24" s="26" t="s">
        <v>52</v>
      </c>
      <c r="C24" s="27">
        <v>8</v>
      </c>
      <c r="D24" s="28">
        <v>2</v>
      </c>
      <c r="E24" s="29">
        <v>10</v>
      </c>
      <c r="G24" s="26" t="s">
        <v>66</v>
      </c>
      <c r="H24" s="27"/>
      <c r="I24" s="28">
        <v>1</v>
      </c>
      <c r="J24" s="29">
        <v>1</v>
      </c>
    </row>
    <row r="25" spans="2:20" ht="14.25" customHeight="1" x14ac:dyDescent="0.3">
      <c r="B25" s="26" t="s">
        <v>12</v>
      </c>
      <c r="C25" s="27">
        <v>6</v>
      </c>
      <c r="D25" s="28">
        <v>10</v>
      </c>
      <c r="E25" s="29">
        <v>16</v>
      </c>
      <c r="G25" s="26" t="s">
        <v>61</v>
      </c>
      <c r="H25" s="27"/>
      <c r="I25" s="28">
        <v>1</v>
      </c>
      <c r="J25" s="29">
        <v>1</v>
      </c>
    </row>
    <row r="26" spans="2:20" ht="14.25" customHeight="1" x14ac:dyDescent="0.3">
      <c r="B26" s="26" t="s">
        <v>58</v>
      </c>
      <c r="C26" s="27">
        <v>2</v>
      </c>
      <c r="D26" s="28"/>
      <c r="E26" s="29">
        <v>2</v>
      </c>
      <c r="G26" s="26" t="s">
        <v>57</v>
      </c>
      <c r="H26" s="27"/>
      <c r="I26" s="28">
        <v>2</v>
      </c>
      <c r="J26" s="29">
        <v>2</v>
      </c>
    </row>
    <row r="27" spans="2:20" ht="14.25" customHeight="1" x14ac:dyDescent="0.3">
      <c r="B27" s="26" t="s">
        <v>44</v>
      </c>
      <c r="C27" s="27">
        <v>32</v>
      </c>
      <c r="D27" s="28">
        <v>23</v>
      </c>
      <c r="E27" s="29">
        <v>55</v>
      </c>
      <c r="G27" s="26" t="s">
        <v>22</v>
      </c>
      <c r="H27" s="27">
        <v>135</v>
      </c>
      <c r="I27" s="28">
        <v>57</v>
      </c>
      <c r="J27" s="29">
        <v>192</v>
      </c>
    </row>
    <row r="28" spans="2:20" ht="14.25" customHeight="1" x14ac:dyDescent="0.3">
      <c r="B28" s="26" t="s">
        <v>34</v>
      </c>
      <c r="C28" s="27">
        <v>20</v>
      </c>
      <c r="D28" s="28">
        <v>14</v>
      </c>
      <c r="E28" s="29">
        <v>34</v>
      </c>
      <c r="G28" s="26" t="s">
        <v>18</v>
      </c>
      <c r="H28" s="30">
        <v>7</v>
      </c>
      <c r="I28" s="31">
        <v>10</v>
      </c>
      <c r="J28" s="32">
        <v>17</v>
      </c>
    </row>
    <row r="29" spans="2:20" ht="14.25" customHeight="1" x14ac:dyDescent="0.3">
      <c r="B29" s="26" t="s">
        <v>47</v>
      </c>
      <c r="C29" s="27">
        <v>1</v>
      </c>
      <c r="D29" s="28">
        <v>7</v>
      </c>
      <c r="E29" s="29">
        <v>8</v>
      </c>
      <c r="G29" s="33" t="s">
        <v>83</v>
      </c>
      <c r="H29" s="34">
        <v>444</v>
      </c>
      <c r="I29" s="35">
        <v>418</v>
      </c>
      <c r="J29" s="36">
        <v>862</v>
      </c>
    </row>
    <row r="30" spans="2:20" ht="14.25" customHeight="1" x14ac:dyDescent="0.3">
      <c r="B30" s="26" t="s">
        <v>38</v>
      </c>
      <c r="C30" s="27"/>
      <c r="D30" s="28">
        <v>8</v>
      </c>
      <c r="E30" s="29">
        <v>8</v>
      </c>
    </row>
    <row r="31" spans="2:20" ht="14.25" customHeight="1" x14ac:dyDescent="0.3">
      <c r="B31" s="26" t="s">
        <v>37</v>
      </c>
      <c r="C31" s="27">
        <v>1</v>
      </c>
      <c r="D31" s="28">
        <v>3</v>
      </c>
      <c r="E31" s="29">
        <v>4</v>
      </c>
    </row>
    <row r="32" spans="2:20" ht="14.25" customHeight="1" x14ac:dyDescent="0.3">
      <c r="B32" s="26" t="s">
        <v>64</v>
      </c>
      <c r="C32" s="30">
        <v>2</v>
      </c>
      <c r="D32" s="31">
        <v>2</v>
      </c>
      <c r="E32" s="32">
        <v>4</v>
      </c>
    </row>
    <row r="33" spans="1:9" ht="14.25" customHeight="1" x14ac:dyDescent="0.3">
      <c r="B33" s="33" t="s">
        <v>83</v>
      </c>
      <c r="C33" s="34">
        <v>444</v>
      </c>
      <c r="D33" s="35">
        <v>418</v>
      </c>
      <c r="E33" s="36">
        <v>862</v>
      </c>
    </row>
    <row r="36" spans="1:9" ht="14.25" customHeight="1" x14ac:dyDescent="0.3">
      <c r="A36" s="4" t="s">
        <v>84</v>
      </c>
    </row>
    <row r="38" spans="1:9" ht="14.25" customHeight="1" x14ac:dyDescent="0.3">
      <c r="A38" s="14" t="s">
        <v>82</v>
      </c>
      <c r="B38" s="15" t="s">
        <v>10</v>
      </c>
      <c r="C38" s="16"/>
      <c r="D38" s="17"/>
    </row>
    <row r="39" spans="1:9" ht="14.25" customHeight="1" x14ac:dyDescent="0.3">
      <c r="A39" s="18" t="s">
        <v>6</v>
      </c>
      <c r="B39" s="19" t="s">
        <v>25</v>
      </c>
      <c r="C39" s="20" t="s">
        <v>16</v>
      </c>
      <c r="D39" s="21" t="s">
        <v>83</v>
      </c>
      <c r="E39" s="37" t="s">
        <v>85</v>
      </c>
      <c r="F39" s="37" t="s">
        <v>16</v>
      </c>
      <c r="G39" s="37" t="s">
        <v>25</v>
      </c>
      <c r="H39" s="37" t="s">
        <v>86</v>
      </c>
      <c r="I39" s="37" t="s">
        <v>87</v>
      </c>
    </row>
    <row r="40" spans="1:9" ht="14.25" customHeight="1" x14ac:dyDescent="0.3">
      <c r="A40" s="22" t="s">
        <v>32</v>
      </c>
      <c r="B40" s="23">
        <v>59</v>
      </c>
      <c r="C40" s="24">
        <v>88</v>
      </c>
      <c r="D40" s="25">
        <v>147</v>
      </c>
      <c r="E40" s="38">
        <f>D40/$D$44</f>
        <v>0.17053364269141533</v>
      </c>
      <c r="F40" s="38">
        <f>C40/$C$44</f>
        <v>0.21052631578947367</v>
      </c>
      <c r="G40" s="38">
        <f>B40/$B$44</f>
        <v>0.13288288288288289</v>
      </c>
      <c r="H40" s="39">
        <f>F40/G40</f>
        <v>1.5842997323818018</v>
      </c>
      <c r="I40" s="4">
        <f>(F40-G40)*LN(H40)</f>
        <v>3.5727043363486331E-2</v>
      </c>
    </row>
    <row r="41" spans="1:9" ht="14.25" customHeight="1" x14ac:dyDescent="0.3">
      <c r="A41" s="26" t="s">
        <v>49</v>
      </c>
      <c r="B41" s="27">
        <v>3</v>
      </c>
      <c r="C41" s="28">
        <v>6</v>
      </c>
      <c r="D41" s="29">
        <v>9</v>
      </c>
      <c r="E41" s="38">
        <f>D41/$D$44</f>
        <v>1.0440835266821345E-2</v>
      </c>
      <c r="F41" s="38">
        <f>C41/$C$44</f>
        <v>1.4354066985645933E-2</v>
      </c>
      <c r="G41" s="38">
        <f>B41/$B$44</f>
        <v>6.7567567567567571E-3</v>
      </c>
      <c r="H41" s="39">
        <f>F41/G41</f>
        <v>2.1244019138755981</v>
      </c>
      <c r="I41" s="4">
        <f>(F41-G41)*LN(H41)</f>
        <v>5.7244996430829637E-3</v>
      </c>
    </row>
    <row r="42" spans="1:9" ht="14.25" customHeight="1" x14ac:dyDescent="0.3">
      <c r="A42" s="26" t="s">
        <v>19</v>
      </c>
      <c r="B42" s="27">
        <v>24</v>
      </c>
      <c r="C42" s="28">
        <v>26</v>
      </c>
      <c r="D42" s="29">
        <v>50</v>
      </c>
      <c r="E42" s="38">
        <f>D42/$D$44</f>
        <v>5.8004640371229696E-2</v>
      </c>
      <c r="F42" s="38">
        <f>C42/$C$44</f>
        <v>6.2200956937799042E-2</v>
      </c>
      <c r="G42" s="38">
        <f>B42/$B$44</f>
        <v>5.4054054054054057E-2</v>
      </c>
      <c r="H42" s="39">
        <f>F42/G42</f>
        <v>1.1507177033492821</v>
      </c>
      <c r="I42" s="4">
        <f>(F42-G42)*LN(H42)</f>
        <v>1.1437097850256425E-3</v>
      </c>
    </row>
    <row r="43" spans="1:9" ht="14.25" customHeight="1" x14ac:dyDescent="0.3">
      <c r="A43" s="26" t="s">
        <v>14</v>
      </c>
      <c r="B43" s="30">
        <v>358</v>
      </c>
      <c r="C43" s="31">
        <v>298</v>
      </c>
      <c r="D43" s="32">
        <v>656</v>
      </c>
      <c r="E43" s="38">
        <f>D43/$D$44</f>
        <v>0.76102088167053361</v>
      </c>
      <c r="F43" s="38">
        <f>C43/$C$44</f>
        <v>0.71291866028708128</v>
      </c>
      <c r="G43" s="38">
        <f>B43/$B$44</f>
        <v>0.80630630630630629</v>
      </c>
      <c r="H43" s="39">
        <f>F43/G43</f>
        <v>0.88417845018844721</v>
      </c>
      <c r="I43" s="4">
        <f>(F43-G43)*LN(H43)</f>
        <v>1.1495680226674783E-2</v>
      </c>
    </row>
    <row r="44" spans="1:9" ht="14.25" customHeight="1" x14ac:dyDescent="0.3">
      <c r="A44" s="33" t="s">
        <v>83</v>
      </c>
      <c r="B44" s="34">
        <v>444</v>
      </c>
      <c r="C44" s="35">
        <v>418</v>
      </c>
      <c r="D44" s="36">
        <v>862</v>
      </c>
      <c r="E44" s="38"/>
      <c r="F44" s="38"/>
      <c r="G44" s="38"/>
      <c r="H44" s="6"/>
      <c r="I44" s="40">
        <f>SUM(I40:I43)</f>
        <v>5.409093301826972E-2</v>
      </c>
    </row>
    <row r="45" spans="1:9" ht="14.25" customHeight="1" x14ac:dyDescent="0.3">
      <c r="I45" s="41" t="s">
        <v>88</v>
      </c>
    </row>
    <row r="47" spans="1:9" ht="14.25" customHeight="1" x14ac:dyDescent="0.3">
      <c r="A47" s="14" t="s">
        <v>82</v>
      </c>
      <c r="B47" s="15" t="s">
        <v>10</v>
      </c>
      <c r="C47" s="16"/>
      <c r="D47" s="17"/>
    </row>
    <row r="48" spans="1:9" ht="14.25" customHeight="1" x14ac:dyDescent="0.3">
      <c r="A48" s="18" t="s">
        <v>8</v>
      </c>
      <c r="B48" s="19" t="s">
        <v>25</v>
      </c>
      <c r="C48" s="20" t="s">
        <v>16</v>
      </c>
      <c r="D48" s="21" t="s">
        <v>83</v>
      </c>
      <c r="E48" s="37" t="s">
        <v>85</v>
      </c>
      <c r="F48" s="37" t="s">
        <v>16</v>
      </c>
      <c r="G48" s="37" t="s">
        <v>25</v>
      </c>
      <c r="H48" s="37" t="s">
        <v>86</v>
      </c>
      <c r="I48" s="37" t="s">
        <v>87</v>
      </c>
    </row>
    <row r="49" spans="1:10" ht="14.25" customHeight="1" x14ac:dyDescent="0.3">
      <c r="A49" s="22" t="s">
        <v>36</v>
      </c>
      <c r="B49" s="23">
        <v>24</v>
      </c>
      <c r="C49" s="24">
        <v>14</v>
      </c>
      <c r="D49" s="25">
        <v>38</v>
      </c>
      <c r="E49" s="38">
        <f t="shared" ref="E49:E55" si="0">D49/$D$56</f>
        <v>4.4083526682134569E-2</v>
      </c>
      <c r="F49" s="42">
        <f t="shared" ref="F49:F55" si="1">C49/$C$56</f>
        <v>3.3492822966507178E-2</v>
      </c>
      <c r="G49" s="38">
        <f t="shared" ref="G49:G55" si="2">B49/$B$56</f>
        <v>5.4054054054054057E-2</v>
      </c>
      <c r="H49" s="39">
        <f t="shared" ref="H49:H55" si="3">F49/G49</f>
        <v>0.61961722488038273</v>
      </c>
      <c r="I49" s="4">
        <f t="shared" ref="I49:I55" si="4">(F49-G49)*LN(H49)</f>
        <v>9.8417025683705892E-3</v>
      </c>
    </row>
    <row r="50" spans="1:10" ht="14.25" customHeight="1" x14ac:dyDescent="0.3">
      <c r="A50" s="26" t="s">
        <v>20</v>
      </c>
      <c r="B50" s="27">
        <v>123</v>
      </c>
      <c r="C50" s="28">
        <v>81</v>
      </c>
      <c r="D50" s="29">
        <v>204</v>
      </c>
      <c r="E50" s="38">
        <f t="shared" si="0"/>
        <v>0.23665893271461716</v>
      </c>
      <c r="F50" s="42">
        <f t="shared" si="1"/>
        <v>0.19377990430622011</v>
      </c>
      <c r="G50" s="38">
        <f t="shared" si="2"/>
        <v>0.27702702702702703</v>
      </c>
      <c r="H50" s="39">
        <f t="shared" si="3"/>
        <v>0.69949819115416034</v>
      </c>
      <c r="I50" s="4">
        <f t="shared" si="4"/>
        <v>2.9751861576707419E-2</v>
      </c>
    </row>
    <row r="51" spans="1:10" ht="14.25" customHeight="1" x14ac:dyDescent="0.3">
      <c r="A51" s="26" t="s">
        <v>15</v>
      </c>
      <c r="B51" s="27">
        <v>118</v>
      </c>
      <c r="C51" s="28">
        <v>85</v>
      </c>
      <c r="D51" s="29">
        <v>203</v>
      </c>
      <c r="E51" s="38">
        <f t="shared" si="0"/>
        <v>0.23549883990719259</v>
      </c>
      <c r="F51" s="42">
        <f t="shared" si="1"/>
        <v>0.20334928229665072</v>
      </c>
      <c r="G51" s="38">
        <f t="shared" si="2"/>
        <v>0.26576576576576577</v>
      </c>
      <c r="H51" s="39">
        <f t="shared" si="3"/>
        <v>0.76514475711621122</v>
      </c>
      <c r="I51" s="4">
        <f t="shared" si="4"/>
        <v>1.6708283319207293E-2</v>
      </c>
    </row>
    <row r="52" spans="1:10" ht="14.25" customHeight="1" x14ac:dyDescent="0.3">
      <c r="A52" s="26" t="s">
        <v>30</v>
      </c>
      <c r="B52" s="27">
        <v>64</v>
      </c>
      <c r="C52" s="28">
        <v>80</v>
      </c>
      <c r="D52" s="29">
        <v>144</v>
      </c>
      <c r="E52" s="38">
        <f t="shared" si="0"/>
        <v>0.16705336426914152</v>
      </c>
      <c r="F52" s="42">
        <f t="shared" si="1"/>
        <v>0.19138755980861244</v>
      </c>
      <c r="G52" s="38">
        <f t="shared" si="2"/>
        <v>0.14414414414414414</v>
      </c>
      <c r="H52" s="39">
        <f t="shared" si="3"/>
        <v>1.3277511961722488</v>
      </c>
      <c r="I52" s="4">
        <f t="shared" si="4"/>
        <v>1.3392879116296361E-2</v>
      </c>
    </row>
    <row r="53" spans="1:10" ht="14.25" customHeight="1" x14ac:dyDescent="0.3">
      <c r="A53" s="26" t="s">
        <v>29</v>
      </c>
      <c r="B53" s="27">
        <v>41</v>
      </c>
      <c r="C53" s="28">
        <v>102</v>
      </c>
      <c r="D53" s="29">
        <v>143</v>
      </c>
      <c r="E53" s="38">
        <f t="shared" si="0"/>
        <v>0.16589327146171692</v>
      </c>
      <c r="F53" s="42">
        <f t="shared" si="1"/>
        <v>0.24401913875598086</v>
      </c>
      <c r="G53" s="38">
        <f t="shared" si="2"/>
        <v>9.2342342342342343E-2</v>
      </c>
      <c r="H53" s="39">
        <f t="shared" si="3"/>
        <v>2.6425487221379389</v>
      </c>
      <c r="I53" s="4">
        <f t="shared" si="4"/>
        <v>0.14739099812018405</v>
      </c>
    </row>
    <row r="54" spans="1:10" ht="14.25" customHeight="1" x14ac:dyDescent="0.3">
      <c r="A54" s="26" t="s">
        <v>40</v>
      </c>
      <c r="B54" s="27">
        <v>27</v>
      </c>
      <c r="C54" s="28">
        <v>21</v>
      </c>
      <c r="D54" s="29">
        <v>48</v>
      </c>
      <c r="E54" s="38">
        <f t="shared" si="0"/>
        <v>5.5684454756380508E-2</v>
      </c>
      <c r="F54" s="42">
        <f t="shared" si="1"/>
        <v>5.0239234449760764E-2</v>
      </c>
      <c r="G54" s="38">
        <f t="shared" si="2"/>
        <v>6.0810810810810814E-2</v>
      </c>
      <c r="H54" s="39">
        <f t="shared" si="3"/>
        <v>0.82615629984051031</v>
      </c>
      <c r="I54" s="4">
        <f t="shared" si="4"/>
        <v>2.0188676635236702E-3</v>
      </c>
    </row>
    <row r="55" spans="1:10" ht="14.25" customHeight="1" x14ac:dyDescent="0.3">
      <c r="A55" s="26" t="s">
        <v>33</v>
      </c>
      <c r="B55" s="30">
        <v>47</v>
      </c>
      <c r="C55" s="31">
        <v>35</v>
      </c>
      <c r="D55" s="32">
        <v>82</v>
      </c>
      <c r="E55" s="38">
        <f t="shared" si="0"/>
        <v>9.5127610208816701E-2</v>
      </c>
      <c r="F55" s="42">
        <f t="shared" si="1"/>
        <v>8.3732057416267949E-2</v>
      </c>
      <c r="G55" s="38">
        <f t="shared" si="2"/>
        <v>0.10585585585585586</v>
      </c>
      <c r="H55" s="39">
        <f t="shared" si="3"/>
        <v>0.79100071261325466</v>
      </c>
      <c r="I55" s="40">
        <f t="shared" si="4"/>
        <v>5.1870663646380348E-3</v>
      </c>
    </row>
    <row r="56" spans="1:10" ht="14.25" customHeight="1" x14ac:dyDescent="0.3">
      <c r="A56" s="33" t="s">
        <v>83</v>
      </c>
      <c r="B56" s="34">
        <v>444</v>
      </c>
      <c r="C56" s="35">
        <v>418</v>
      </c>
      <c r="D56" s="36">
        <v>862</v>
      </c>
      <c r="H56" s="43"/>
      <c r="I56" s="41">
        <f>SUM(I49:I55)</f>
        <v>0.2242916587289274</v>
      </c>
      <c r="J56" s="4" t="str">
        <f>IF(I56&lt;0.02,"Não útil para previsão",IF(I56&lt;0.1,"Baixo poder preditivo",IF(I56&lt;0.3,"Moderado poder preditivo",IF(I56&lt;0.5,"Forte poder preditivo","Poder preditivo suspeito (revisar)"))))</f>
        <v>Moderado poder preditivo</v>
      </c>
    </row>
    <row r="59" spans="1:10" ht="14.25" customHeight="1" x14ac:dyDescent="0.3">
      <c r="A59" s="4" t="s">
        <v>82</v>
      </c>
      <c r="B59" s="4" t="s">
        <v>89</v>
      </c>
    </row>
    <row r="60" spans="1:10" ht="14.25" customHeight="1" x14ac:dyDescent="0.3">
      <c r="A60" s="4" t="s">
        <v>90</v>
      </c>
      <c r="B60" s="6" t="s">
        <v>25</v>
      </c>
      <c r="C60" s="6" t="s">
        <v>16</v>
      </c>
      <c r="D60" s="6" t="s">
        <v>91</v>
      </c>
      <c r="E60" s="6" t="s">
        <v>85</v>
      </c>
      <c r="F60" s="6" t="s">
        <v>16</v>
      </c>
      <c r="G60" s="6" t="s">
        <v>25</v>
      </c>
      <c r="H60" s="6" t="s">
        <v>86</v>
      </c>
      <c r="I60" s="6" t="s">
        <v>87</v>
      </c>
    </row>
    <row r="61" spans="1:10" ht="14.25" customHeight="1" x14ac:dyDescent="0.3">
      <c r="A61" s="4" t="s">
        <v>21</v>
      </c>
      <c r="B61" s="6">
        <v>164</v>
      </c>
      <c r="C61" s="6">
        <v>59</v>
      </c>
      <c r="D61" s="6">
        <f t="shared" ref="D61:D72" si="5">B61+C61</f>
        <v>223</v>
      </c>
      <c r="E61" s="6">
        <f t="shared" ref="E61:E72" si="6">D61/$D$73</f>
        <v>0.25870069605568446</v>
      </c>
      <c r="F61" s="6">
        <f t="shared" ref="F61:F72" si="7">C61/$C$73</f>
        <v>0.14114832535885166</v>
      </c>
      <c r="G61" s="6">
        <f t="shared" ref="G61:G72" si="8">B61/$B$73</f>
        <v>0.36936936936936937</v>
      </c>
      <c r="H61" s="6">
        <f t="shared" ref="H61:H72" si="9">F61/G61</f>
        <v>0.38213327109347645</v>
      </c>
      <c r="I61" s="6">
        <f t="shared" ref="I61:I72" si="10">(F61-G61)*LN(H61)</f>
        <v>0.21954541592574234</v>
      </c>
    </row>
    <row r="62" spans="1:10" ht="14.25" customHeight="1" x14ac:dyDescent="0.3">
      <c r="A62" s="4" t="s">
        <v>23</v>
      </c>
      <c r="B62" s="6">
        <v>68</v>
      </c>
      <c r="C62" s="6">
        <v>72</v>
      </c>
      <c r="D62" s="6">
        <f t="shared" si="5"/>
        <v>140</v>
      </c>
      <c r="E62" s="6">
        <f t="shared" si="6"/>
        <v>0.16241299303944315</v>
      </c>
      <c r="F62" s="6">
        <f t="shared" si="7"/>
        <v>0.17224880382775121</v>
      </c>
      <c r="G62" s="6">
        <f t="shared" si="8"/>
        <v>0.15315315315315314</v>
      </c>
      <c r="H62" s="6">
        <f t="shared" si="9"/>
        <v>1.1246833661694344</v>
      </c>
      <c r="I62" s="6">
        <f t="shared" si="10"/>
        <v>2.2437684331266809E-3</v>
      </c>
    </row>
    <row r="63" spans="1:10" ht="14.25" customHeight="1" x14ac:dyDescent="0.3">
      <c r="A63" s="4" t="s">
        <v>27</v>
      </c>
      <c r="B63" s="6">
        <v>18</v>
      </c>
      <c r="C63" s="6">
        <v>99</v>
      </c>
      <c r="D63" s="6">
        <f t="shared" si="5"/>
        <v>117</v>
      </c>
      <c r="E63" s="6">
        <f t="shared" si="6"/>
        <v>0.1357308584686775</v>
      </c>
      <c r="F63" s="6">
        <f t="shared" si="7"/>
        <v>0.23684210526315788</v>
      </c>
      <c r="G63" s="6">
        <f t="shared" si="8"/>
        <v>4.0540540540540543E-2</v>
      </c>
      <c r="H63" s="6">
        <f t="shared" si="9"/>
        <v>5.8421052631578938</v>
      </c>
      <c r="I63" s="6">
        <f t="shared" si="10"/>
        <v>0.34649016878539585</v>
      </c>
    </row>
    <row r="64" spans="1:10" ht="14.25" customHeight="1" x14ac:dyDescent="0.3">
      <c r="A64" s="4" t="s">
        <v>17</v>
      </c>
      <c r="B64" s="6">
        <v>40</v>
      </c>
      <c r="C64" s="6">
        <v>44</v>
      </c>
      <c r="D64" s="6">
        <f t="shared" si="5"/>
        <v>84</v>
      </c>
      <c r="E64" s="6">
        <f t="shared" si="6"/>
        <v>9.7447795823665889E-2</v>
      </c>
      <c r="F64" s="6">
        <f t="shared" si="7"/>
        <v>0.10526315789473684</v>
      </c>
      <c r="G64" s="6">
        <f t="shared" si="8"/>
        <v>9.0090090090090086E-2</v>
      </c>
      <c r="H64" s="6">
        <f t="shared" si="9"/>
        <v>1.168421052631579</v>
      </c>
      <c r="I64" s="6">
        <f t="shared" si="10"/>
        <v>2.3617382222747211E-3</v>
      </c>
    </row>
    <row r="65" spans="1:10" ht="14.25" customHeight="1" x14ac:dyDescent="0.3">
      <c r="A65" s="4" t="s">
        <v>70</v>
      </c>
      <c r="B65" s="6">
        <v>33</v>
      </c>
      <c r="C65" s="6">
        <v>41</v>
      </c>
      <c r="D65" s="6">
        <f t="shared" si="5"/>
        <v>74</v>
      </c>
      <c r="E65" s="6">
        <f t="shared" si="6"/>
        <v>8.584686774941995E-2</v>
      </c>
      <c r="F65" s="6">
        <f t="shared" si="7"/>
        <v>9.8086124401913874E-2</v>
      </c>
      <c r="G65" s="6">
        <f t="shared" si="8"/>
        <v>7.4324324324324328E-2</v>
      </c>
      <c r="H65" s="6">
        <f t="shared" si="9"/>
        <v>1.3197042192257502</v>
      </c>
      <c r="I65" s="6">
        <f t="shared" si="10"/>
        <v>6.5917047663194249E-3</v>
      </c>
    </row>
    <row r="66" spans="1:10" ht="14.25" customHeight="1" x14ac:dyDescent="0.3">
      <c r="A66" s="4" t="s">
        <v>44</v>
      </c>
      <c r="B66" s="6">
        <v>32</v>
      </c>
      <c r="C66" s="6">
        <v>23</v>
      </c>
      <c r="D66" s="6">
        <f t="shared" si="5"/>
        <v>55</v>
      </c>
      <c r="E66" s="6">
        <f t="shared" si="6"/>
        <v>6.3805104408352672E-2</v>
      </c>
      <c r="F66" s="6">
        <f t="shared" si="7"/>
        <v>5.5023923444976079E-2</v>
      </c>
      <c r="G66" s="6">
        <f t="shared" si="8"/>
        <v>7.2072072072072071E-2</v>
      </c>
      <c r="H66" s="6">
        <f t="shared" si="9"/>
        <v>0.76345693779904311</v>
      </c>
      <c r="I66" s="6">
        <f t="shared" si="10"/>
        <v>4.6012707133458045E-3</v>
      </c>
    </row>
    <row r="67" spans="1:10" ht="14.25" customHeight="1" x14ac:dyDescent="0.3">
      <c r="A67" s="4" t="s">
        <v>41</v>
      </c>
      <c r="B67" s="6">
        <v>37</v>
      </c>
      <c r="C67" s="6">
        <v>10</v>
      </c>
      <c r="D67" s="6">
        <f t="shared" si="5"/>
        <v>47</v>
      </c>
      <c r="E67" s="6">
        <f t="shared" si="6"/>
        <v>5.4524361948955914E-2</v>
      </c>
      <c r="F67" s="6">
        <f t="shared" si="7"/>
        <v>2.3923444976076555E-2</v>
      </c>
      <c r="G67" s="6">
        <f t="shared" si="8"/>
        <v>8.3333333333333329E-2</v>
      </c>
      <c r="H67" s="6">
        <f t="shared" si="9"/>
        <v>0.28708133971291866</v>
      </c>
      <c r="I67" s="6">
        <f t="shared" si="10"/>
        <v>7.4142928138621944E-2</v>
      </c>
    </row>
    <row r="68" spans="1:10" ht="14.25" customHeight="1" x14ac:dyDescent="0.3">
      <c r="A68" s="4" t="s">
        <v>46</v>
      </c>
      <c r="B68" s="6">
        <v>16</v>
      </c>
      <c r="C68" s="6">
        <v>25</v>
      </c>
      <c r="D68" s="6">
        <f t="shared" si="5"/>
        <v>41</v>
      </c>
      <c r="E68" s="6">
        <f t="shared" si="6"/>
        <v>4.7563805104408351E-2</v>
      </c>
      <c r="F68" s="6">
        <f t="shared" si="7"/>
        <v>5.9808612440191387E-2</v>
      </c>
      <c r="G68" s="6">
        <f t="shared" si="8"/>
        <v>3.6036036036036036E-2</v>
      </c>
      <c r="H68" s="6">
        <f t="shared" si="9"/>
        <v>1.6596889952153111</v>
      </c>
      <c r="I68" s="6">
        <f t="shared" si="10"/>
        <v>1.204390591161439E-2</v>
      </c>
    </row>
    <row r="69" spans="1:10" ht="14.25" customHeight="1" x14ac:dyDescent="0.3">
      <c r="A69" s="4" t="s">
        <v>34</v>
      </c>
      <c r="B69" s="6">
        <v>20</v>
      </c>
      <c r="C69" s="6">
        <v>14</v>
      </c>
      <c r="D69" s="6">
        <f t="shared" si="5"/>
        <v>34</v>
      </c>
      <c r="E69" s="6">
        <f t="shared" si="6"/>
        <v>3.9443155452436193E-2</v>
      </c>
      <c r="F69" s="6">
        <f t="shared" si="7"/>
        <v>3.3492822966507178E-2</v>
      </c>
      <c r="G69" s="6">
        <f t="shared" si="8"/>
        <v>4.5045045045045043E-2</v>
      </c>
      <c r="H69" s="6">
        <f t="shared" si="9"/>
        <v>0.74354066985645939</v>
      </c>
      <c r="I69" s="6">
        <f t="shared" si="10"/>
        <v>3.4232909246251428E-3</v>
      </c>
    </row>
    <row r="70" spans="1:10" ht="14.25" customHeight="1" x14ac:dyDescent="0.3">
      <c r="A70" s="4" t="s">
        <v>55</v>
      </c>
      <c r="B70" s="6">
        <v>5</v>
      </c>
      <c r="C70" s="6">
        <v>11</v>
      </c>
      <c r="D70" s="6">
        <f t="shared" si="5"/>
        <v>16</v>
      </c>
      <c r="E70" s="6">
        <f t="shared" si="6"/>
        <v>1.8561484918793503E-2</v>
      </c>
      <c r="F70" s="6">
        <f t="shared" si="7"/>
        <v>2.6315789473684209E-2</v>
      </c>
      <c r="G70" s="6">
        <f t="shared" si="8"/>
        <v>1.1261261261261261E-2</v>
      </c>
      <c r="H70" s="6">
        <f t="shared" si="9"/>
        <v>2.3368421052631581</v>
      </c>
      <c r="I70" s="6">
        <f t="shared" si="10"/>
        <v>1.277829092751432E-2</v>
      </c>
    </row>
    <row r="71" spans="1:10" ht="14.25" customHeight="1" x14ac:dyDescent="0.3">
      <c r="A71" s="4" t="s">
        <v>12</v>
      </c>
      <c r="B71" s="6">
        <v>6</v>
      </c>
      <c r="C71" s="6">
        <v>10</v>
      </c>
      <c r="D71" s="6">
        <f t="shared" si="5"/>
        <v>16</v>
      </c>
      <c r="E71" s="6">
        <f t="shared" si="6"/>
        <v>1.8561484918793503E-2</v>
      </c>
      <c r="F71" s="6">
        <f t="shared" si="7"/>
        <v>2.3923444976076555E-2</v>
      </c>
      <c r="G71" s="6">
        <f t="shared" si="8"/>
        <v>1.3513513513513514E-2</v>
      </c>
      <c r="H71" s="6">
        <f t="shared" si="9"/>
        <v>1.770334928229665</v>
      </c>
      <c r="I71" s="6">
        <f t="shared" si="10"/>
        <v>5.9458275792982612E-3</v>
      </c>
    </row>
    <row r="72" spans="1:10" ht="14.25" customHeight="1" x14ac:dyDescent="0.3">
      <c r="A72" s="4" t="s">
        <v>42</v>
      </c>
      <c r="B72" s="6">
        <v>5</v>
      </c>
      <c r="C72" s="6">
        <v>10</v>
      </c>
      <c r="D72" s="6">
        <f t="shared" si="5"/>
        <v>15</v>
      </c>
      <c r="E72" s="6">
        <f t="shared" si="6"/>
        <v>1.7401392111368909E-2</v>
      </c>
      <c r="F72" s="6">
        <f t="shared" si="7"/>
        <v>2.3923444976076555E-2</v>
      </c>
      <c r="G72" s="6">
        <f t="shared" si="8"/>
        <v>1.1261261261261261E-2</v>
      </c>
      <c r="H72" s="6">
        <f t="shared" si="9"/>
        <v>2.1244019138755981</v>
      </c>
      <c r="I72" s="6">
        <f t="shared" si="10"/>
        <v>9.5408327384716059E-3</v>
      </c>
    </row>
    <row r="73" spans="1:10" ht="14.25" customHeight="1" x14ac:dyDescent="0.3">
      <c r="A73" s="4" t="s">
        <v>91</v>
      </c>
      <c r="B73" s="6">
        <f>SUM(B61:B72)</f>
        <v>444</v>
      </c>
      <c r="C73" s="6">
        <f>SUM(C61:C72)</f>
        <v>418</v>
      </c>
      <c r="D73" s="6">
        <f>SUM(D61:D72)</f>
        <v>862</v>
      </c>
      <c r="E73" s="6"/>
      <c r="F73" s="6"/>
      <c r="G73" s="6"/>
      <c r="H73" s="6"/>
      <c r="I73" s="44">
        <f>SUM(I61:I72)</f>
        <v>0.69970914306635068</v>
      </c>
      <c r="J73" s="4" t="str">
        <f>IF(I73&lt;0.02,"Não útil para previsão",IF(I73&lt;0.1,"Baixo poder preditivo",IF(I73&lt;0.3,"Moderado poder preditivo",IF(I73&lt;0.5,"Forte poder preditivo","Poder preditivo suspeito (revisar)"))))</f>
        <v>Poder preditivo suspeito (revisar)</v>
      </c>
    </row>
    <row r="76" spans="1:10" ht="14.25" customHeight="1" x14ac:dyDescent="0.3">
      <c r="A76" s="4" t="s">
        <v>82</v>
      </c>
      <c r="B76" s="4" t="s">
        <v>89</v>
      </c>
    </row>
    <row r="77" spans="1:10" ht="14.25" customHeight="1" x14ac:dyDescent="0.3">
      <c r="A77" s="4" t="s">
        <v>92</v>
      </c>
      <c r="B77" s="6" t="s">
        <v>25</v>
      </c>
      <c r="C77" s="6" t="s">
        <v>16</v>
      </c>
      <c r="D77" s="6" t="s">
        <v>91</v>
      </c>
      <c r="E77" s="6" t="s">
        <v>85</v>
      </c>
      <c r="F77" s="6" t="s">
        <v>16</v>
      </c>
      <c r="G77" s="6" t="s">
        <v>25</v>
      </c>
      <c r="H77" s="6" t="s">
        <v>86</v>
      </c>
      <c r="I77" s="6" t="s">
        <v>87</v>
      </c>
    </row>
    <row r="78" spans="1:10" ht="14.25" customHeight="1" x14ac:dyDescent="0.3">
      <c r="A78" s="4" t="s">
        <v>28</v>
      </c>
      <c r="B78" s="6">
        <v>76</v>
      </c>
      <c r="C78" s="6">
        <v>144</v>
      </c>
      <c r="D78" s="6">
        <f t="shared" ref="D78:D86" si="11">B78+C78</f>
        <v>220</v>
      </c>
      <c r="E78" s="6">
        <f t="shared" ref="E78:E86" si="12">D78/$D$87</f>
        <v>0.25522041763341069</v>
      </c>
      <c r="F78" s="6">
        <f t="shared" ref="F78:F86" si="13">C78/$C$87</f>
        <v>0.34449760765550241</v>
      </c>
      <c r="G78" s="6">
        <f t="shared" ref="G78:G86" si="14">B78/$B$87</f>
        <v>0.17117117117117117</v>
      </c>
      <c r="H78" s="6">
        <f t="shared" ref="H78:H86" si="15">F78/G78</f>
        <v>2.0125912868295139</v>
      </c>
      <c r="I78" s="6">
        <f t="shared" ref="I78:I86" si="16">(F78-G78)*LN(H78)</f>
        <v>0.12122851164540246</v>
      </c>
    </row>
    <row r="79" spans="1:10" ht="14.25" customHeight="1" x14ac:dyDescent="0.3">
      <c r="A79" s="4" t="s">
        <v>26</v>
      </c>
      <c r="B79" s="6">
        <v>97</v>
      </c>
      <c r="C79" s="6">
        <v>96</v>
      </c>
      <c r="D79" s="6">
        <f t="shared" si="11"/>
        <v>193</v>
      </c>
      <c r="E79" s="6">
        <f t="shared" si="12"/>
        <v>0.22389791183294663</v>
      </c>
      <c r="F79" s="6">
        <f t="shared" si="13"/>
        <v>0.22966507177033493</v>
      </c>
      <c r="G79" s="6">
        <f t="shared" si="14"/>
        <v>0.21846846846846846</v>
      </c>
      <c r="H79" s="6">
        <f t="shared" si="15"/>
        <v>1.0512504316085434</v>
      </c>
      <c r="I79" s="6">
        <f t="shared" si="16"/>
        <v>5.5961007202817866E-4</v>
      </c>
    </row>
    <row r="80" spans="1:10" ht="14.25" customHeight="1" x14ac:dyDescent="0.3">
      <c r="A80" s="4" t="s">
        <v>22</v>
      </c>
      <c r="B80" s="6">
        <v>135</v>
      </c>
      <c r="C80" s="6">
        <v>57</v>
      </c>
      <c r="D80" s="6">
        <f t="shared" si="11"/>
        <v>192</v>
      </c>
      <c r="E80" s="6">
        <f t="shared" si="12"/>
        <v>0.22273781902552203</v>
      </c>
      <c r="F80" s="6">
        <f t="shared" si="13"/>
        <v>0.13636363636363635</v>
      </c>
      <c r="G80" s="6">
        <f t="shared" si="14"/>
        <v>0.30405405405405406</v>
      </c>
      <c r="H80" s="6">
        <f t="shared" si="15"/>
        <v>0.44848484848484843</v>
      </c>
      <c r="I80" s="6">
        <f t="shared" si="16"/>
        <v>0.13446765597673233</v>
      </c>
    </row>
    <row r="81" spans="1:10" ht="14.25" customHeight="1" x14ac:dyDescent="0.3">
      <c r="A81" s="4" t="s">
        <v>35</v>
      </c>
      <c r="B81" s="6">
        <v>45</v>
      </c>
      <c r="C81" s="6">
        <v>44</v>
      </c>
      <c r="D81" s="6">
        <f t="shared" si="11"/>
        <v>89</v>
      </c>
      <c r="E81" s="6">
        <f t="shared" si="12"/>
        <v>0.10324825986078887</v>
      </c>
      <c r="F81" s="6">
        <f t="shared" si="13"/>
        <v>0.10526315789473684</v>
      </c>
      <c r="G81" s="6">
        <f t="shared" si="14"/>
        <v>0.10135135135135136</v>
      </c>
      <c r="H81" s="6">
        <f t="shared" si="15"/>
        <v>1.0385964912280701</v>
      </c>
      <c r="I81" s="6">
        <f t="shared" si="16"/>
        <v>1.4814118584975319E-4</v>
      </c>
    </row>
    <row r="82" spans="1:10" ht="14.25" customHeight="1" x14ac:dyDescent="0.3">
      <c r="A82" s="4" t="s">
        <v>24</v>
      </c>
      <c r="B82" s="6">
        <v>41</v>
      </c>
      <c r="C82" s="6">
        <v>25</v>
      </c>
      <c r="D82" s="6">
        <f t="shared" si="11"/>
        <v>66</v>
      </c>
      <c r="E82" s="6">
        <f t="shared" si="12"/>
        <v>7.6566125290023199E-2</v>
      </c>
      <c r="F82" s="6">
        <f t="shared" si="13"/>
        <v>5.9808612440191387E-2</v>
      </c>
      <c r="G82" s="6">
        <f t="shared" si="14"/>
        <v>9.2342342342342343E-2</v>
      </c>
      <c r="H82" s="6">
        <f t="shared" si="15"/>
        <v>0.64768351032792626</v>
      </c>
      <c r="I82" s="6">
        <f t="shared" si="16"/>
        <v>1.4131126825645069E-2</v>
      </c>
    </row>
    <row r="83" spans="1:10" ht="14.25" customHeight="1" x14ac:dyDescent="0.3">
      <c r="A83" s="4" t="s">
        <v>72</v>
      </c>
      <c r="B83" s="6">
        <v>20</v>
      </c>
      <c r="C83" s="6">
        <v>21</v>
      </c>
      <c r="D83" s="6">
        <f t="shared" si="11"/>
        <v>41</v>
      </c>
      <c r="E83" s="6">
        <f t="shared" si="12"/>
        <v>4.7563805104408351E-2</v>
      </c>
      <c r="F83" s="6">
        <f t="shared" si="13"/>
        <v>5.0239234449760764E-2</v>
      </c>
      <c r="G83" s="6">
        <f t="shared" si="14"/>
        <v>4.5045045045045043E-2</v>
      </c>
      <c r="H83" s="6">
        <f t="shared" si="15"/>
        <v>1.115311004784689</v>
      </c>
      <c r="I83" s="6">
        <f t="shared" si="16"/>
        <v>5.6685899979596146E-4</v>
      </c>
    </row>
    <row r="84" spans="1:10" ht="14.25" customHeight="1" x14ac:dyDescent="0.3">
      <c r="A84" s="4" t="s">
        <v>31</v>
      </c>
      <c r="B84" s="6">
        <v>19</v>
      </c>
      <c r="C84" s="6">
        <v>6</v>
      </c>
      <c r="D84" s="6">
        <f t="shared" si="11"/>
        <v>25</v>
      </c>
      <c r="E84" s="6">
        <f t="shared" si="12"/>
        <v>2.9002320185614848E-2</v>
      </c>
      <c r="F84" s="6">
        <f t="shared" si="13"/>
        <v>1.4354066985645933E-2</v>
      </c>
      <c r="G84" s="6">
        <f t="shared" si="14"/>
        <v>4.2792792792792793E-2</v>
      </c>
      <c r="H84" s="6">
        <f t="shared" si="15"/>
        <v>0.33543188113825234</v>
      </c>
      <c r="I84" s="6">
        <f t="shared" si="16"/>
        <v>3.106465480087062E-2</v>
      </c>
    </row>
    <row r="85" spans="1:10" ht="14.25" customHeight="1" x14ac:dyDescent="0.3">
      <c r="A85" s="4" t="s">
        <v>13</v>
      </c>
      <c r="B85" s="6">
        <v>4</v>
      </c>
      <c r="C85" s="6">
        <v>15</v>
      </c>
      <c r="D85" s="6">
        <f t="shared" si="11"/>
        <v>19</v>
      </c>
      <c r="E85" s="6">
        <f t="shared" si="12"/>
        <v>2.2041763341067284E-2</v>
      </c>
      <c r="F85" s="6">
        <f t="shared" si="13"/>
        <v>3.5885167464114832E-2</v>
      </c>
      <c r="G85" s="6">
        <f t="shared" si="14"/>
        <v>9.0090090090090089E-3</v>
      </c>
      <c r="H85" s="6">
        <f t="shared" si="15"/>
        <v>3.9832535885167464</v>
      </c>
      <c r="I85" s="6">
        <f t="shared" si="16"/>
        <v>3.7145510915396474E-2</v>
      </c>
    </row>
    <row r="86" spans="1:10" ht="14.25" customHeight="1" x14ac:dyDescent="0.3">
      <c r="A86" s="4" t="s">
        <v>18</v>
      </c>
      <c r="B86" s="6">
        <v>7</v>
      </c>
      <c r="C86" s="6">
        <v>10</v>
      </c>
      <c r="D86" s="6">
        <f t="shared" si="11"/>
        <v>17</v>
      </c>
      <c r="E86" s="6">
        <f t="shared" si="12"/>
        <v>1.9721577726218097E-2</v>
      </c>
      <c r="F86" s="6">
        <f t="shared" si="13"/>
        <v>2.3923444976076555E-2</v>
      </c>
      <c r="G86" s="6">
        <f t="shared" si="14"/>
        <v>1.5765765765765764E-2</v>
      </c>
      <c r="H86" s="6">
        <f t="shared" si="15"/>
        <v>1.5174299384825702</v>
      </c>
      <c r="I86" s="6">
        <f t="shared" si="16"/>
        <v>3.4018996713390034E-3</v>
      </c>
    </row>
    <row r="87" spans="1:10" ht="14.25" customHeight="1" x14ac:dyDescent="0.3">
      <c r="A87" s="4" t="s">
        <v>91</v>
      </c>
      <c r="B87" s="6">
        <f>SUM(B78:B86)</f>
        <v>444</v>
      </c>
      <c r="C87" s="6">
        <f>SUM(C78:C86)</f>
        <v>418</v>
      </c>
      <c r="D87" s="6">
        <f>SUM(D78:D86)</f>
        <v>862</v>
      </c>
      <c r="E87" s="6"/>
      <c r="F87" s="6"/>
      <c r="G87" s="6"/>
      <c r="H87" s="6"/>
      <c r="I87" s="45">
        <f>SUM(I78:I86)</f>
        <v>0.34271397009305987</v>
      </c>
      <c r="J87" s="4" t="str">
        <f>IF(I87&lt;0.02,"Não útil para previsão",IF(I87&lt;0.1,"Baixo poder preditivo",IF(I87&lt;0.3,"Moderado poder preditivo",IF(I87&lt;0.5,"Forte poder preditivo","Poder preditivo suspeito (revisar)"))))</f>
        <v>Forte poder preditivo</v>
      </c>
    </row>
    <row r="88" spans="1:10" ht="14.25" customHeight="1" x14ac:dyDescent="0.3">
      <c r="B88" s="6"/>
      <c r="C88" s="6"/>
      <c r="D88" s="6"/>
      <c r="E88" s="6"/>
      <c r="F88" s="6"/>
      <c r="G88" s="6"/>
      <c r="H88" s="6"/>
      <c r="I88" s="6"/>
    </row>
    <row r="89" spans="1:10" ht="14.25" customHeight="1" x14ac:dyDescent="0.3">
      <c r="B89" s="6"/>
      <c r="C89" s="6"/>
      <c r="D89" s="6"/>
      <c r="E89" s="6"/>
      <c r="F89" s="6"/>
      <c r="G89" s="6"/>
      <c r="H89" s="6"/>
      <c r="I89" s="6"/>
    </row>
    <row r="90" spans="1:10" ht="14.25" customHeight="1" x14ac:dyDescent="0.3">
      <c r="B90" s="6"/>
      <c r="C90" s="6"/>
      <c r="D90" s="6"/>
      <c r="E90" s="6"/>
      <c r="F90" s="6"/>
      <c r="G90" s="6"/>
      <c r="H90" s="6"/>
      <c r="I90" s="6"/>
    </row>
    <row r="91" spans="1:10" ht="17.25" customHeight="1" x14ac:dyDescent="0.35">
      <c r="A91" s="46" t="s">
        <v>93</v>
      </c>
    </row>
    <row r="93" spans="1:10" ht="14.25" customHeight="1" x14ac:dyDescent="0.3">
      <c r="A93" s="14" t="s">
        <v>82</v>
      </c>
      <c r="B93" s="15" t="s">
        <v>10</v>
      </c>
      <c r="C93" s="16"/>
      <c r="D93" s="17"/>
    </row>
    <row r="94" spans="1:10" ht="14.25" customHeight="1" x14ac:dyDescent="0.3">
      <c r="A94" s="18" t="s">
        <v>6</v>
      </c>
      <c r="B94" s="19" t="s">
        <v>25</v>
      </c>
      <c r="C94" s="20" t="s">
        <v>16</v>
      </c>
      <c r="D94" s="21" t="s">
        <v>83</v>
      </c>
      <c r="E94" s="37" t="s">
        <v>86</v>
      </c>
      <c r="F94" s="37" t="s">
        <v>94</v>
      </c>
    </row>
    <row r="95" spans="1:10" ht="14.25" customHeight="1" x14ac:dyDescent="0.3">
      <c r="A95" s="22" t="s">
        <v>32</v>
      </c>
      <c r="B95" s="23">
        <v>59</v>
      </c>
      <c r="C95" s="24">
        <v>88</v>
      </c>
      <c r="D95" s="25">
        <v>147</v>
      </c>
      <c r="E95" s="47">
        <f>C95/B95</f>
        <v>1.4915254237288136</v>
      </c>
      <c r="F95" s="48">
        <f>LN(E95)</f>
        <v>0.39979937057248705</v>
      </c>
    </row>
    <row r="96" spans="1:10" ht="14.25" customHeight="1" x14ac:dyDescent="0.3">
      <c r="A96" s="26" t="s">
        <v>49</v>
      </c>
      <c r="B96" s="27">
        <v>3</v>
      </c>
      <c r="C96" s="28">
        <v>6</v>
      </c>
      <c r="D96" s="29">
        <v>9</v>
      </c>
      <c r="E96" s="47">
        <f>C96/B96</f>
        <v>2</v>
      </c>
      <c r="F96" s="48">
        <f>LN(E96)</f>
        <v>0.69314718055994529</v>
      </c>
    </row>
    <row r="97" spans="1:6" ht="14.25" customHeight="1" x14ac:dyDescent="0.3">
      <c r="A97" s="26" t="s">
        <v>19</v>
      </c>
      <c r="B97" s="27">
        <v>24</v>
      </c>
      <c r="C97" s="28">
        <v>26</v>
      </c>
      <c r="D97" s="29">
        <v>50</v>
      </c>
      <c r="E97" s="47">
        <f>C97/B97</f>
        <v>1.0833333333333333</v>
      </c>
      <c r="F97" s="48">
        <f>LN(E97)</f>
        <v>8.0042707673536356E-2</v>
      </c>
    </row>
    <row r="98" spans="1:6" ht="14.25" customHeight="1" x14ac:dyDescent="0.3">
      <c r="A98" s="26" t="s">
        <v>14</v>
      </c>
      <c r="B98" s="30">
        <v>358</v>
      </c>
      <c r="C98" s="31">
        <v>298</v>
      </c>
      <c r="D98" s="32">
        <v>656</v>
      </c>
      <c r="E98" s="47">
        <f>C98/B98</f>
        <v>0.83240223463687146</v>
      </c>
      <c r="F98" s="48">
        <f>LN(E98)</f>
        <v>-0.1834394998952959</v>
      </c>
    </row>
    <row r="99" spans="1:6" ht="14.25" customHeight="1" x14ac:dyDescent="0.3">
      <c r="A99" s="33" t="s">
        <v>83</v>
      </c>
      <c r="B99" s="34">
        <v>444</v>
      </c>
      <c r="C99" s="35">
        <v>418</v>
      </c>
      <c r="D99" s="36">
        <v>862</v>
      </c>
    </row>
    <row r="102" spans="1:6" ht="14.25" customHeight="1" x14ac:dyDescent="0.3">
      <c r="A102" s="14" t="s">
        <v>82</v>
      </c>
      <c r="B102" s="15" t="s">
        <v>10</v>
      </c>
      <c r="C102" s="16"/>
      <c r="D102" s="17"/>
    </row>
    <row r="103" spans="1:6" ht="14.25" customHeight="1" x14ac:dyDescent="0.3">
      <c r="A103" s="18" t="s">
        <v>8</v>
      </c>
      <c r="B103" s="19" t="s">
        <v>25</v>
      </c>
      <c r="C103" s="20" t="s">
        <v>16</v>
      </c>
      <c r="D103" s="21" t="s">
        <v>83</v>
      </c>
      <c r="E103" s="37" t="s">
        <v>86</v>
      </c>
      <c r="F103" s="37" t="s">
        <v>95</v>
      </c>
    </row>
    <row r="104" spans="1:6" ht="14.25" customHeight="1" x14ac:dyDescent="0.3">
      <c r="A104" s="22" t="s">
        <v>36</v>
      </c>
      <c r="B104" s="23">
        <v>24</v>
      </c>
      <c r="C104" s="24">
        <v>14</v>
      </c>
      <c r="D104" s="25">
        <v>38</v>
      </c>
      <c r="E104" s="47">
        <f t="shared" ref="E104:E110" si="17">C104/B104</f>
        <v>0.58333333333333337</v>
      </c>
      <c r="F104" s="48">
        <f t="shared" ref="F104:F110" si="18">LN(E104)</f>
        <v>-0.5389965007326869</v>
      </c>
    </row>
    <row r="105" spans="1:6" ht="14.25" customHeight="1" x14ac:dyDescent="0.3">
      <c r="A105" s="26" t="s">
        <v>20</v>
      </c>
      <c r="B105" s="27">
        <v>123</v>
      </c>
      <c r="C105" s="28">
        <v>81</v>
      </c>
      <c r="D105" s="29">
        <v>204</v>
      </c>
      <c r="E105" s="47">
        <f t="shared" si="17"/>
        <v>0.65853658536585369</v>
      </c>
      <c r="F105" s="48">
        <f t="shared" si="18"/>
        <v>-0.41773520069997866</v>
      </c>
    </row>
    <row r="106" spans="1:6" ht="14.25" customHeight="1" x14ac:dyDescent="0.3">
      <c r="A106" s="26" t="s">
        <v>15</v>
      </c>
      <c r="B106" s="27">
        <v>118</v>
      </c>
      <c r="C106" s="28">
        <v>85</v>
      </c>
      <c r="D106" s="29">
        <v>203</v>
      </c>
      <c r="E106" s="47">
        <f t="shared" si="17"/>
        <v>0.72033898305084743</v>
      </c>
      <c r="F106" s="48">
        <f t="shared" si="18"/>
        <v>-0.32803336797534832</v>
      </c>
    </row>
    <row r="107" spans="1:6" ht="14.25" customHeight="1" x14ac:dyDescent="0.3">
      <c r="A107" s="26" t="s">
        <v>30</v>
      </c>
      <c r="B107" s="27">
        <v>64</v>
      </c>
      <c r="C107" s="28">
        <v>80</v>
      </c>
      <c r="D107" s="29">
        <v>144</v>
      </c>
      <c r="E107" s="47">
        <f t="shared" si="17"/>
        <v>1.25</v>
      </c>
      <c r="F107" s="48">
        <f t="shared" si="18"/>
        <v>0.22314355131420976</v>
      </c>
    </row>
    <row r="108" spans="1:6" ht="14.25" customHeight="1" x14ac:dyDescent="0.3">
      <c r="A108" s="26" t="s">
        <v>29</v>
      </c>
      <c r="B108" s="27">
        <v>41</v>
      </c>
      <c r="C108" s="28">
        <v>102</v>
      </c>
      <c r="D108" s="29">
        <v>143</v>
      </c>
      <c r="E108" s="47">
        <f t="shared" si="17"/>
        <v>2.4878048780487805</v>
      </c>
      <c r="F108" s="48">
        <f t="shared" si="18"/>
        <v>0.91140074657996328</v>
      </c>
    </row>
    <row r="109" spans="1:6" ht="14.25" customHeight="1" x14ac:dyDescent="0.3">
      <c r="A109" s="26" t="s">
        <v>40</v>
      </c>
      <c r="B109" s="27">
        <v>27</v>
      </c>
      <c r="C109" s="28">
        <v>21</v>
      </c>
      <c r="D109" s="29">
        <v>48</v>
      </c>
      <c r="E109" s="47">
        <f t="shared" si="17"/>
        <v>0.77777777777777779</v>
      </c>
      <c r="F109" s="48">
        <f t="shared" si="18"/>
        <v>-0.25131442828090605</v>
      </c>
    </row>
    <row r="110" spans="1:6" ht="14.25" customHeight="1" x14ac:dyDescent="0.3">
      <c r="A110" s="26" t="s">
        <v>33</v>
      </c>
      <c r="B110" s="30">
        <v>47</v>
      </c>
      <c r="C110" s="31">
        <v>35</v>
      </c>
      <c r="D110" s="32">
        <v>82</v>
      </c>
      <c r="E110" s="47">
        <f t="shared" si="17"/>
        <v>0.74468085106382975</v>
      </c>
      <c r="F110" s="48">
        <f t="shared" si="18"/>
        <v>-0.29479954022064497</v>
      </c>
    </row>
    <row r="111" spans="1:6" ht="14.25" customHeight="1" x14ac:dyDescent="0.3">
      <c r="A111" s="33" t="s">
        <v>83</v>
      </c>
      <c r="B111" s="34">
        <v>444</v>
      </c>
      <c r="C111" s="35">
        <v>418</v>
      </c>
      <c r="D111" s="36">
        <v>862</v>
      </c>
    </row>
    <row r="114" spans="1:6" ht="14.25" customHeight="1" x14ac:dyDescent="0.3">
      <c r="A114" s="49" t="s">
        <v>82</v>
      </c>
      <c r="B114" s="50" t="s">
        <v>89</v>
      </c>
      <c r="C114" s="51"/>
      <c r="D114" s="52"/>
    </row>
    <row r="115" spans="1:6" ht="14.25" customHeight="1" x14ac:dyDescent="0.3">
      <c r="A115" s="53" t="s">
        <v>90</v>
      </c>
      <c r="B115" s="54" t="s">
        <v>25</v>
      </c>
      <c r="C115" s="55" t="s">
        <v>16</v>
      </c>
      <c r="D115" s="56" t="s">
        <v>91</v>
      </c>
      <c r="E115" s="37" t="s">
        <v>86</v>
      </c>
      <c r="F115" s="37" t="s">
        <v>94</v>
      </c>
    </row>
    <row r="116" spans="1:6" ht="14.25" customHeight="1" x14ac:dyDescent="0.3">
      <c r="A116" s="4" t="s">
        <v>21</v>
      </c>
      <c r="B116" s="6">
        <v>164</v>
      </c>
      <c r="C116" s="6">
        <v>59</v>
      </c>
      <c r="D116" s="6">
        <f t="shared" ref="D116:D127" si="19">B116+C116</f>
        <v>223</v>
      </c>
      <c r="E116" s="47">
        <f t="shared" ref="E116:E127" si="20">C116/B116</f>
        <v>0.3597560975609756</v>
      </c>
      <c r="F116" s="48">
        <f t="shared" ref="F116:F127" si="21">LN(E116)</f>
        <v>-1.022328983918479</v>
      </c>
    </row>
    <row r="117" spans="1:6" ht="14.25" customHeight="1" x14ac:dyDescent="0.3">
      <c r="A117" s="4" t="s">
        <v>23</v>
      </c>
      <c r="B117" s="6">
        <v>68</v>
      </c>
      <c r="C117" s="6">
        <v>72</v>
      </c>
      <c r="D117" s="6">
        <f t="shared" si="19"/>
        <v>140</v>
      </c>
      <c r="E117" s="47">
        <f t="shared" si="20"/>
        <v>1.0588235294117647</v>
      </c>
      <c r="F117" s="48">
        <f t="shared" si="21"/>
        <v>5.7158413839948623E-2</v>
      </c>
    </row>
    <row r="118" spans="1:6" ht="14.25" customHeight="1" x14ac:dyDescent="0.3">
      <c r="A118" s="4" t="s">
        <v>27</v>
      </c>
      <c r="B118" s="6">
        <v>18</v>
      </c>
      <c r="C118" s="6">
        <v>99</v>
      </c>
      <c r="D118" s="6">
        <f t="shared" si="19"/>
        <v>117</v>
      </c>
      <c r="E118" s="47">
        <f t="shared" si="20"/>
        <v>5.5</v>
      </c>
      <c r="F118" s="48">
        <f t="shared" si="21"/>
        <v>1.7047480922384253</v>
      </c>
    </row>
    <row r="119" spans="1:6" ht="14.25" customHeight="1" x14ac:dyDescent="0.3">
      <c r="A119" s="4" t="s">
        <v>17</v>
      </c>
      <c r="B119" s="6">
        <v>40</v>
      </c>
      <c r="C119" s="6">
        <v>44</v>
      </c>
      <c r="D119" s="6">
        <f t="shared" si="19"/>
        <v>84</v>
      </c>
      <c r="E119" s="47">
        <f t="shared" si="20"/>
        <v>1.1000000000000001</v>
      </c>
      <c r="F119" s="48">
        <f t="shared" si="21"/>
        <v>9.5310179804324935E-2</v>
      </c>
    </row>
    <row r="120" spans="1:6" ht="14.25" customHeight="1" x14ac:dyDescent="0.3">
      <c r="A120" s="4" t="s">
        <v>70</v>
      </c>
      <c r="B120" s="6">
        <v>33</v>
      </c>
      <c r="C120" s="6">
        <v>41</v>
      </c>
      <c r="D120" s="6">
        <f t="shared" si="19"/>
        <v>74</v>
      </c>
      <c r="E120" s="47">
        <f t="shared" si="20"/>
        <v>1.2424242424242424</v>
      </c>
      <c r="F120" s="48">
        <f t="shared" si="21"/>
        <v>0.21706450523782758</v>
      </c>
    </row>
    <row r="121" spans="1:6" ht="14.25" customHeight="1" x14ac:dyDescent="0.3">
      <c r="A121" s="4" t="s">
        <v>44</v>
      </c>
      <c r="B121" s="6">
        <v>32</v>
      </c>
      <c r="C121" s="6">
        <v>23</v>
      </c>
      <c r="D121" s="6">
        <f t="shared" si="19"/>
        <v>55</v>
      </c>
      <c r="E121" s="47">
        <f t="shared" si="20"/>
        <v>0.71875</v>
      </c>
      <c r="F121" s="48">
        <f t="shared" si="21"/>
        <v>-0.33024168687057687</v>
      </c>
    </row>
    <row r="122" spans="1:6" ht="14.25" customHeight="1" x14ac:dyDescent="0.3">
      <c r="A122" s="4" t="s">
        <v>41</v>
      </c>
      <c r="B122" s="6">
        <v>37</v>
      </c>
      <c r="C122" s="6">
        <v>10</v>
      </c>
      <c r="D122" s="6">
        <f t="shared" si="19"/>
        <v>47</v>
      </c>
      <c r="E122" s="47">
        <f t="shared" si="20"/>
        <v>0.27027027027027029</v>
      </c>
      <c r="F122" s="48">
        <f t="shared" si="21"/>
        <v>-1.3083328196501787</v>
      </c>
    </row>
    <row r="123" spans="1:6" ht="14.25" customHeight="1" x14ac:dyDescent="0.3">
      <c r="A123" s="4" t="s">
        <v>46</v>
      </c>
      <c r="B123" s="6">
        <v>16</v>
      </c>
      <c r="C123" s="6">
        <v>25</v>
      </c>
      <c r="D123" s="6">
        <f t="shared" si="19"/>
        <v>41</v>
      </c>
      <c r="E123" s="47">
        <f t="shared" si="20"/>
        <v>1.5625</v>
      </c>
      <c r="F123" s="48">
        <f t="shared" si="21"/>
        <v>0.44628710262841953</v>
      </c>
    </row>
    <row r="124" spans="1:6" ht="14.25" customHeight="1" x14ac:dyDescent="0.3">
      <c r="A124" s="4" t="s">
        <v>34</v>
      </c>
      <c r="B124" s="6">
        <v>20</v>
      </c>
      <c r="C124" s="6">
        <v>14</v>
      </c>
      <c r="D124" s="6">
        <f t="shared" si="19"/>
        <v>34</v>
      </c>
      <c r="E124" s="47">
        <f t="shared" si="20"/>
        <v>0.7</v>
      </c>
      <c r="F124" s="48">
        <f t="shared" si="21"/>
        <v>-0.35667494393873245</v>
      </c>
    </row>
    <row r="125" spans="1:6" ht="14.25" customHeight="1" x14ac:dyDescent="0.3">
      <c r="A125" s="4" t="s">
        <v>55</v>
      </c>
      <c r="B125" s="6">
        <v>5</v>
      </c>
      <c r="C125" s="6">
        <v>11</v>
      </c>
      <c r="D125" s="6">
        <f t="shared" si="19"/>
        <v>16</v>
      </c>
      <c r="E125" s="47">
        <f t="shared" si="20"/>
        <v>2.2000000000000002</v>
      </c>
      <c r="F125" s="48">
        <f t="shared" si="21"/>
        <v>0.78845736036427028</v>
      </c>
    </row>
    <row r="126" spans="1:6" ht="14.25" customHeight="1" x14ac:dyDescent="0.3">
      <c r="A126" s="4" t="s">
        <v>12</v>
      </c>
      <c r="B126" s="6">
        <v>6</v>
      </c>
      <c r="C126" s="6">
        <v>10</v>
      </c>
      <c r="D126" s="6">
        <f t="shared" si="19"/>
        <v>16</v>
      </c>
      <c r="E126" s="47">
        <f t="shared" si="20"/>
        <v>1.6666666666666667</v>
      </c>
      <c r="F126" s="48">
        <f t="shared" si="21"/>
        <v>0.51082562376599072</v>
      </c>
    </row>
    <row r="127" spans="1:6" ht="14.25" customHeight="1" x14ac:dyDescent="0.3">
      <c r="A127" s="4" t="s">
        <v>42</v>
      </c>
      <c r="B127" s="6">
        <v>5</v>
      </c>
      <c r="C127" s="6">
        <v>10</v>
      </c>
      <c r="D127" s="6">
        <f t="shared" si="19"/>
        <v>15</v>
      </c>
      <c r="E127" s="47">
        <f t="shared" si="20"/>
        <v>2</v>
      </c>
      <c r="F127" s="48">
        <f t="shared" si="21"/>
        <v>0.69314718055994529</v>
      </c>
    </row>
    <row r="128" spans="1:6" ht="14.25" customHeight="1" x14ac:dyDescent="0.3">
      <c r="A128" s="4" t="s">
        <v>91</v>
      </c>
      <c r="B128" s="6">
        <f>SUM(B116:B127)</f>
        <v>444</v>
      </c>
      <c r="C128" s="6">
        <f>SUM(C116:C127)</f>
        <v>418</v>
      </c>
      <c r="D128" s="6">
        <f>SUM(D116:D127)</f>
        <v>862</v>
      </c>
    </row>
    <row r="131" spans="1:6" ht="14.25" customHeight="1" x14ac:dyDescent="0.3">
      <c r="A131" s="49" t="s">
        <v>82</v>
      </c>
      <c r="B131" s="50" t="s">
        <v>89</v>
      </c>
      <c r="C131" s="51"/>
      <c r="D131" s="52"/>
    </row>
    <row r="132" spans="1:6" ht="14.25" customHeight="1" x14ac:dyDescent="0.3">
      <c r="A132" s="53" t="s">
        <v>92</v>
      </c>
      <c r="B132" s="54" t="s">
        <v>25</v>
      </c>
      <c r="C132" s="55" t="s">
        <v>16</v>
      </c>
      <c r="D132" s="56" t="s">
        <v>91</v>
      </c>
      <c r="E132" s="37" t="s">
        <v>86</v>
      </c>
      <c r="F132" s="37" t="s">
        <v>95</v>
      </c>
    </row>
    <row r="133" spans="1:6" ht="14.25" customHeight="1" x14ac:dyDescent="0.3">
      <c r="A133" s="4" t="s">
        <v>28</v>
      </c>
      <c r="B133" s="6">
        <v>76</v>
      </c>
      <c r="C133" s="6">
        <v>144</v>
      </c>
      <c r="D133" s="6">
        <f t="shared" ref="D133:D141" si="22">B133+C133</f>
        <v>220</v>
      </c>
      <c r="E133" s="47">
        <f t="shared" ref="E133:E141" si="23">C133/B133</f>
        <v>1.8947368421052631</v>
      </c>
      <c r="F133" s="48">
        <f t="shared" ref="F133:F141" si="24">LN(E133)</f>
        <v>0.63907995928966954</v>
      </c>
    </row>
    <row r="134" spans="1:6" ht="14.25" customHeight="1" x14ac:dyDescent="0.3">
      <c r="A134" s="4" t="s">
        <v>26</v>
      </c>
      <c r="B134" s="6">
        <v>97</v>
      </c>
      <c r="C134" s="6">
        <v>96</v>
      </c>
      <c r="D134" s="6">
        <f t="shared" si="22"/>
        <v>193</v>
      </c>
      <c r="E134" s="47">
        <f t="shared" si="23"/>
        <v>0.98969072164948457</v>
      </c>
      <c r="F134" s="48">
        <f t="shared" si="24"/>
        <v>-1.0362787035546547E-2</v>
      </c>
    </row>
    <row r="135" spans="1:6" ht="14.25" customHeight="1" x14ac:dyDescent="0.3">
      <c r="A135" s="4" t="s">
        <v>22</v>
      </c>
      <c r="B135" s="6">
        <v>135</v>
      </c>
      <c r="C135" s="6">
        <v>57</v>
      </c>
      <c r="D135" s="6">
        <f t="shared" si="22"/>
        <v>192</v>
      </c>
      <c r="E135" s="47">
        <f t="shared" si="23"/>
        <v>0.42222222222222222</v>
      </c>
      <c r="F135" s="48">
        <f t="shared" si="24"/>
        <v>-0.86222351060387925</v>
      </c>
    </row>
    <row r="136" spans="1:6" ht="14.25" customHeight="1" x14ac:dyDescent="0.3">
      <c r="A136" s="4" t="s">
        <v>35</v>
      </c>
      <c r="B136" s="6">
        <v>45</v>
      </c>
      <c r="C136" s="6">
        <v>44</v>
      </c>
      <c r="D136" s="6">
        <f t="shared" si="22"/>
        <v>89</v>
      </c>
      <c r="E136" s="47">
        <f t="shared" si="23"/>
        <v>0.97777777777777775</v>
      </c>
      <c r="F136" s="48">
        <f t="shared" si="24"/>
        <v>-2.2472855852058628E-2</v>
      </c>
    </row>
    <row r="137" spans="1:6" ht="14.25" customHeight="1" x14ac:dyDescent="0.3">
      <c r="A137" s="4" t="s">
        <v>24</v>
      </c>
      <c r="B137" s="6">
        <v>41</v>
      </c>
      <c r="C137" s="6">
        <v>25</v>
      </c>
      <c r="D137" s="6">
        <f t="shared" si="22"/>
        <v>66</v>
      </c>
      <c r="E137" s="47">
        <f t="shared" si="23"/>
        <v>0.6097560975609756</v>
      </c>
      <c r="F137" s="48">
        <f t="shared" si="24"/>
        <v>-0.49469624183610705</v>
      </c>
    </row>
    <row r="138" spans="1:6" ht="14.25" customHeight="1" x14ac:dyDescent="0.3">
      <c r="A138" s="4" t="s">
        <v>72</v>
      </c>
      <c r="B138" s="6">
        <v>20</v>
      </c>
      <c r="C138" s="6">
        <v>21</v>
      </c>
      <c r="D138" s="6">
        <f t="shared" si="22"/>
        <v>41</v>
      </c>
      <c r="E138" s="47">
        <f t="shared" si="23"/>
        <v>1.05</v>
      </c>
      <c r="F138" s="48">
        <f t="shared" si="24"/>
        <v>4.8790164169432049E-2</v>
      </c>
    </row>
    <row r="139" spans="1:6" ht="14.25" customHeight="1" x14ac:dyDescent="0.3">
      <c r="A139" s="4" t="s">
        <v>31</v>
      </c>
      <c r="B139" s="6">
        <v>19</v>
      </c>
      <c r="C139" s="6">
        <v>6</v>
      </c>
      <c r="D139" s="6">
        <f t="shared" si="22"/>
        <v>25</v>
      </c>
      <c r="E139" s="47">
        <f t="shared" si="23"/>
        <v>0.31578947368421051</v>
      </c>
      <c r="F139" s="48">
        <f t="shared" si="24"/>
        <v>-1.1526795099383855</v>
      </c>
    </row>
    <row r="140" spans="1:6" ht="14.25" customHeight="1" x14ac:dyDescent="0.3">
      <c r="A140" s="4" t="s">
        <v>13</v>
      </c>
      <c r="B140" s="6">
        <v>4</v>
      </c>
      <c r="C140" s="6">
        <v>15</v>
      </c>
      <c r="D140" s="6">
        <f t="shared" si="22"/>
        <v>19</v>
      </c>
      <c r="E140" s="47">
        <f t="shared" si="23"/>
        <v>3.75</v>
      </c>
      <c r="F140" s="48">
        <f t="shared" si="24"/>
        <v>1.3217558399823195</v>
      </c>
    </row>
    <row r="141" spans="1:6" ht="14.25" customHeight="1" x14ac:dyDescent="0.3">
      <c r="A141" s="4" t="s">
        <v>18</v>
      </c>
      <c r="B141" s="6">
        <v>7</v>
      </c>
      <c r="C141" s="6">
        <v>10</v>
      </c>
      <c r="D141" s="6">
        <f t="shared" si="22"/>
        <v>17</v>
      </c>
      <c r="E141" s="47">
        <f t="shared" si="23"/>
        <v>1.4285714285714286</v>
      </c>
      <c r="F141" s="48">
        <f t="shared" si="24"/>
        <v>0.35667494393873239</v>
      </c>
    </row>
    <row r="142" spans="1:6" ht="14.25" customHeight="1" x14ac:dyDescent="0.3">
      <c r="A142" s="4" t="s">
        <v>91</v>
      </c>
      <c r="B142" s="6">
        <f>SUM(B133:B141)</f>
        <v>444</v>
      </c>
      <c r="C142" s="6">
        <f>SUM(C133:C141)</f>
        <v>418</v>
      </c>
      <c r="D142" s="6">
        <f>SUM(D133:D141)</f>
        <v>862</v>
      </c>
      <c r="E142" s="47"/>
      <c r="F142" s="48"/>
    </row>
    <row r="143" spans="1:6" ht="14.25" customHeight="1" x14ac:dyDescent="0.3">
      <c r="E143" s="47"/>
      <c r="F143" s="48"/>
    </row>
    <row r="144" spans="1:6" ht="14.25" customHeight="1" x14ac:dyDescent="0.3">
      <c r="E144" s="47"/>
      <c r="F144" s="48"/>
    </row>
    <row r="145" spans="1:2" ht="14.25" customHeight="1" x14ac:dyDescent="0.3">
      <c r="A145" s="57" t="s">
        <v>96</v>
      </c>
      <c r="B145" s="57">
        <f>LN(C142/B142)</f>
        <v>-6.0343129907468394E-2</v>
      </c>
    </row>
    <row r="146" spans="1:2" ht="14.25" customHeight="1" x14ac:dyDescent="0.3">
      <c r="A146" s="57" t="s">
        <v>97</v>
      </c>
      <c r="B146" s="57">
        <f>VLOOKUP(Calculadora!C6,Análise!A116:F127,6,0)</f>
        <v>0.21706450523782758</v>
      </c>
    </row>
    <row r="147" spans="1:2" ht="14.25" customHeight="1" x14ac:dyDescent="0.3">
      <c r="A147" s="57" t="s">
        <v>98</v>
      </c>
      <c r="B147" s="57">
        <f>VLOOKUP(Calculadora!C10,Análise!A95:F98,6,0)</f>
        <v>-0.1834394998952959</v>
      </c>
    </row>
    <row r="148" spans="1:2" ht="14.25" customHeight="1" x14ac:dyDescent="0.3">
      <c r="A148" s="57" t="s">
        <v>99</v>
      </c>
      <c r="B148" s="57">
        <f>VLOOKUP(Calculadora!C12,Análise!A104:F110,6,0)</f>
        <v>-0.25131442828090605</v>
      </c>
    </row>
    <row r="149" spans="1:2" ht="14.25" customHeight="1" x14ac:dyDescent="0.3">
      <c r="A149" s="57" t="s">
        <v>100</v>
      </c>
      <c r="B149" s="57">
        <f>VLOOKUP(Calculadora!C8,Análise!A133:F141,6,0)</f>
        <v>-0.49469624183610705</v>
      </c>
    </row>
    <row r="151" spans="1:2" ht="14.25" customHeight="1" x14ac:dyDescent="0.3">
      <c r="A151" s="57" t="s">
        <v>101</v>
      </c>
      <c r="B151" s="57">
        <f>SUM(B145:B149)</f>
        <v>-0.77272879468194988</v>
      </c>
    </row>
    <row r="152" spans="1:2" ht="14.25" customHeight="1" x14ac:dyDescent="0.3">
      <c r="A152" s="57" t="s">
        <v>102</v>
      </c>
      <c r="B152" s="57">
        <f>EXP(B151)</f>
        <v>0.46175132301761723</v>
      </c>
    </row>
    <row r="153" spans="1:2" ht="14.25" customHeight="1" x14ac:dyDescent="0.3">
      <c r="A153" s="58" t="s">
        <v>103</v>
      </c>
      <c r="B153" s="58">
        <f>B152/(B152+1)</f>
        <v>0.31588910900684863</v>
      </c>
    </row>
    <row r="155" spans="1:2" ht="14.25" customHeight="1" x14ac:dyDescent="0.3">
      <c r="A155" s="4" t="s">
        <v>104</v>
      </c>
      <c r="B155" s="59">
        <v>1800</v>
      </c>
    </row>
    <row r="156" spans="1:2" ht="14.25" customHeight="1" x14ac:dyDescent="0.3">
      <c r="A156" s="4" t="s">
        <v>105</v>
      </c>
      <c r="B156" s="59">
        <v>800</v>
      </c>
    </row>
  </sheetData>
  <conditionalFormatting sqref="F95:F98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04:F110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16:F12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33:F14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zoomScaleNormal="100" workbookViewId="0">
      <selection activeCell="H15" sqref="H15"/>
    </sheetView>
  </sheetViews>
  <sheetFormatPr defaultColWidth="8.6640625" defaultRowHeight="14.4" x14ac:dyDescent="0.3"/>
  <cols>
    <col min="1" max="1" width="12" style="4" customWidth="1"/>
    <col min="2" max="2" width="14" style="4" customWidth="1"/>
    <col min="3" max="3" width="20" style="4" customWidth="1"/>
    <col min="4" max="4" width="12" style="4" customWidth="1"/>
    <col min="5" max="5" width="14" style="4" customWidth="1"/>
    <col min="6" max="7" width="16" style="4" customWidth="1"/>
    <col min="8" max="8" width="22.21875" style="4" bestFit="1" customWidth="1"/>
    <col min="9" max="9" width="12.6640625" style="4" bestFit="1" customWidth="1"/>
  </cols>
  <sheetData>
    <row r="1" spans="1:9" ht="15" customHeight="1" x14ac:dyDescent="0.3">
      <c r="A1" s="41" t="s">
        <v>106</v>
      </c>
    </row>
    <row r="3" spans="1:9" ht="15" customHeight="1" x14ac:dyDescent="0.3">
      <c r="A3" s="4" t="s">
        <v>107</v>
      </c>
      <c r="B3" s="4" t="s">
        <v>108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</row>
    <row r="4" spans="1:9" ht="15" customHeight="1" x14ac:dyDescent="0.3">
      <c r="A4" s="4" t="s">
        <v>27</v>
      </c>
      <c r="B4" s="4" t="s">
        <v>28</v>
      </c>
      <c r="C4" s="4" t="s">
        <v>14</v>
      </c>
      <c r="D4" s="4" t="s">
        <v>29</v>
      </c>
      <c r="E4" s="4">
        <v>65</v>
      </c>
      <c r="F4" s="4">
        <v>0.86150000000000004</v>
      </c>
      <c r="G4" s="4">
        <f t="shared" ref="G4:G13" si="0">EXP(I4)/(1+EXP(I4))</f>
        <v>0.95308855599035114</v>
      </c>
      <c r="H4" s="4">
        <f t="shared" ref="H4:H13" si="1">G4-F4</f>
        <v>9.1588555990351095E-2</v>
      </c>
      <c r="I4" s="4">
        <f>Análise!$B$145+VLOOKUP(A4,Análise!$A$116:$F$127,6,0)+VLOOKUP(B4,Análise!$A$133:$F$141,6,0)+VLOOKUP(C4,Análise!$A$95:$F$98,6,0)+VLOOKUP(D4,Análise!$A$104:$F$110,6,0)</f>
        <v>3.011446168305294</v>
      </c>
    </row>
    <row r="5" spans="1:9" ht="15" customHeight="1" x14ac:dyDescent="0.3">
      <c r="A5" s="4" t="s">
        <v>23</v>
      </c>
      <c r="B5" s="4" t="s">
        <v>26</v>
      </c>
      <c r="C5" s="4" t="s">
        <v>14</v>
      </c>
      <c r="D5" s="4" t="s">
        <v>15</v>
      </c>
      <c r="E5" s="4">
        <v>38</v>
      </c>
      <c r="F5" s="4">
        <v>0.47370000000000001</v>
      </c>
      <c r="G5" s="4">
        <f t="shared" si="0"/>
        <v>0.37167905438262366</v>
      </c>
      <c r="H5" s="4">
        <f t="shared" si="1"/>
        <v>-0.10202094561737635</v>
      </c>
      <c r="I5" s="4">
        <f>Análise!$B$145+VLOOKUP(A5,Análise!$A$116:$F$127,6,0)+VLOOKUP(B5,Análise!$A$133:$F$141,6,0)+VLOOKUP(C5,Análise!$A$95:$F$98,6,0)+VLOOKUP(D5,Análise!$A$104:$F$110,6,0)</f>
        <v>-0.52502037097371057</v>
      </c>
    </row>
    <row r="6" spans="1:9" ht="15" customHeight="1" x14ac:dyDescent="0.3">
      <c r="A6" s="4" t="s">
        <v>21</v>
      </c>
      <c r="B6" s="4" t="s">
        <v>22</v>
      </c>
      <c r="C6" s="4" t="s">
        <v>14</v>
      </c>
      <c r="D6" s="4" t="s">
        <v>20</v>
      </c>
      <c r="E6" s="4">
        <v>36</v>
      </c>
      <c r="F6" s="4">
        <v>0.16669999999999999</v>
      </c>
      <c r="G6" s="4">
        <f t="shared" si="0"/>
        <v>7.2690928405586788E-2</v>
      </c>
      <c r="H6" s="4">
        <f t="shared" si="1"/>
        <v>-9.4009071594413199E-2</v>
      </c>
      <c r="I6" s="4">
        <f>Análise!$B$145+VLOOKUP(A6,Análise!$A$116:$F$127,6,0)+VLOOKUP(B6,Análise!$A$133:$F$141,6,0)+VLOOKUP(C6,Análise!$A$95:$F$98,6,0)+VLOOKUP(D6,Análise!$A$104:$F$110,6,0)</f>
        <v>-2.5460703250251013</v>
      </c>
    </row>
    <row r="7" spans="1:9" ht="15" customHeight="1" x14ac:dyDescent="0.3">
      <c r="A7" s="4" t="s">
        <v>21</v>
      </c>
      <c r="B7" s="4" t="s">
        <v>22</v>
      </c>
      <c r="C7" s="4" t="s">
        <v>14</v>
      </c>
      <c r="D7" s="4" t="s">
        <v>15</v>
      </c>
      <c r="E7" s="4">
        <v>32</v>
      </c>
      <c r="F7" s="4">
        <v>0.21879999999999999</v>
      </c>
      <c r="G7" s="4">
        <f t="shared" si="0"/>
        <v>7.8974079237503006E-2</v>
      </c>
      <c r="H7" s="4">
        <f t="shared" si="1"/>
        <v>-0.139825920762497</v>
      </c>
      <c r="I7" s="4">
        <f>Análise!$B$145+VLOOKUP(A7,Análise!$A$116:$F$127,6,0)+VLOOKUP(B7,Análise!$A$133:$F$141,6,0)+VLOOKUP(C7,Análise!$A$95:$F$98,6,0)+VLOOKUP(D7,Análise!$A$104:$F$110,6,0)</f>
        <v>-2.4563684923004709</v>
      </c>
    </row>
    <row r="8" spans="1:9" ht="15" customHeight="1" x14ac:dyDescent="0.3">
      <c r="A8" s="4" t="s">
        <v>21</v>
      </c>
      <c r="B8" s="4" t="s">
        <v>22</v>
      </c>
      <c r="C8" s="4" t="s">
        <v>14</v>
      </c>
      <c r="D8" s="4" t="s">
        <v>30</v>
      </c>
      <c r="E8" s="4">
        <v>21</v>
      </c>
      <c r="F8" s="4">
        <v>0.28570000000000001</v>
      </c>
      <c r="G8" s="4">
        <f t="shared" si="0"/>
        <v>0.12952201828351714</v>
      </c>
      <c r="H8" s="4">
        <f t="shared" si="1"/>
        <v>-0.15617798171648287</v>
      </c>
      <c r="I8" s="4">
        <f>Análise!$B$145+VLOOKUP(A8,Análise!$A$116:$F$127,6,0)+VLOOKUP(B8,Análise!$A$133:$F$141,6,0)+VLOOKUP(C8,Análise!$A$95:$F$98,6,0)+VLOOKUP(D8,Análise!$A$104:$F$110,6,0)</f>
        <v>-1.9051915730109128</v>
      </c>
    </row>
    <row r="9" spans="1:9" ht="15" customHeight="1" x14ac:dyDescent="0.3">
      <c r="A9" s="4" t="s">
        <v>23</v>
      </c>
      <c r="B9" s="4" t="s">
        <v>26</v>
      </c>
      <c r="C9" s="4" t="s">
        <v>14</v>
      </c>
      <c r="D9" s="4" t="s">
        <v>29</v>
      </c>
      <c r="E9" s="4">
        <v>18</v>
      </c>
      <c r="F9" s="4">
        <v>0.38890000000000002</v>
      </c>
      <c r="G9" s="4">
        <f t="shared" si="0"/>
        <v>0.67137570125327573</v>
      </c>
      <c r="H9" s="4">
        <f t="shared" si="1"/>
        <v>0.2824757012532757</v>
      </c>
      <c r="I9" s="4">
        <f>Análise!$B$145+VLOOKUP(A9,Análise!$A$116:$F$127,6,0)+VLOOKUP(B9,Análise!$A$133:$F$141,6,0)+VLOOKUP(C9,Análise!$A$95:$F$98,6,0)+VLOOKUP(D9,Análise!$A$104:$F$110,6,0)</f>
        <v>0.71441374358160104</v>
      </c>
    </row>
    <row r="10" spans="1:9" ht="15" customHeight="1" x14ac:dyDescent="0.3">
      <c r="A10" s="4" t="s">
        <v>23</v>
      </c>
      <c r="B10" s="4" t="s">
        <v>26</v>
      </c>
      <c r="C10" s="4" t="s">
        <v>14</v>
      </c>
      <c r="D10" s="4" t="s">
        <v>30</v>
      </c>
      <c r="E10" s="4">
        <v>16</v>
      </c>
      <c r="F10" s="4">
        <v>0.6875</v>
      </c>
      <c r="G10" s="4">
        <f t="shared" si="0"/>
        <v>0.50653876428372979</v>
      </c>
      <c r="H10" s="4">
        <f t="shared" si="1"/>
        <v>-0.18096123571627021</v>
      </c>
      <c r="I10" s="4">
        <f>Análise!$B$145+VLOOKUP(A10,Análise!$A$116:$F$127,6,0)+VLOOKUP(B10,Análise!$A$133:$F$141,6,0)+VLOOKUP(C10,Análise!$A$95:$F$98,6,0)+VLOOKUP(D10,Análise!$A$104:$F$110,6,0)</f>
        <v>2.6156548315847544E-2</v>
      </c>
    </row>
    <row r="11" spans="1:9" ht="15" customHeight="1" x14ac:dyDescent="0.3">
      <c r="A11" s="4" t="s">
        <v>27</v>
      </c>
      <c r="B11" s="4" t="s">
        <v>28</v>
      </c>
      <c r="C11" s="4" t="s">
        <v>14</v>
      </c>
      <c r="D11" s="4" t="s">
        <v>30</v>
      </c>
      <c r="E11" s="4">
        <v>15</v>
      </c>
      <c r="F11" s="4">
        <v>0.8</v>
      </c>
      <c r="G11" s="4">
        <f t="shared" si="0"/>
        <v>0.91077941716314115</v>
      </c>
      <c r="H11" s="4">
        <f t="shared" si="1"/>
        <v>0.1107794171631411</v>
      </c>
      <c r="I11" s="4">
        <f>Análise!$B$145+VLOOKUP(A11,Análise!$A$116:$F$127,6,0)+VLOOKUP(B11,Análise!$A$133:$F$141,6,0)+VLOOKUP(C11,Análise!$A$95:$F$98,6,0)+VLOOKUP(D11,Análise!$A$104:$F$110,6,0)</f>
        <v>2.3231889730395405</v>
      </c>
    </row>
    <row r="12" spans="1:9" ht="15" customHeight="1" x14ac:dyDescent="0.3">
      <c r="A12" s="4" t="s">
        <v>23</v>
      </c>
      <c r="B12" s="4" t="s">
        <v>26</v>
      </c>
      <c r="C12" s="4" t="s">
        <v>14</v>
      </c>
      <c r="D12" s="4" t="s">
        <v>20</v>
      </c>
      <c r="E12" s="4">
        <v>15</v>
      </c>
      <c r="F12" s="4">
        <v>0.5333</v>
      </c>
      <c r="G12" s="4">
        <f t="shared" si="0"/>
        <v>0.35098275342746027</v>
      </c>
      <c r="H12" s="4">
        <f t="shared" si="1"/>
        <v>-0.18231724657253973</v>
      </c>
      <c r="I12" s="4">
        <f>Análise!$B$145+VLOOKUP(A12,Análise!$A$116:$F$127,6,0)+VLOOKUP(B12,Análise!$A$133:$F$141,6,0)+VLOOKUP(C12,Análise!$A$95:$F$98,6,0)+VLOOKUP(D12,Análise!$A$104:$F$110,6,0)</f>
        <v>-0.61472220369834085</v>
      </c>
    </row>
    <row r="13" spans="1:9" ht="15" customHeight="1" x14ac:dyDescent="0.3">
      <c r="A13" s="4" t="s">
        <v>41</v>
      </c>
      <c r="B13" s="4" t="s">
        <v>24</v>
      </c>
      <c r="C13" s="4" t="s">
        <v>14</v>
      </c>
      <c r="D13" s="4" t="s">
        <v>15</v>
      </c>
      <c r="E13" s="4">
        <v>15</v>
      </c>
      <c r="F13" s="4">
        <v>0.1333</v>
      </c>
      <c r="G13" s="4">
        <f t="shared" si="0"/>
        <v>8.5111109033992424E-2</v>
      </c>
      <c r="H13" s="4">
        <f t="shared" si="1"/>
        <v>-4.8188890966007578E-2</v>
      </c>
      <c r="I13" s="4">
        <f>Análise!$B$145+VLOOKUP(A13,Análise!$A$116:$F$127,6,0)+VLOOKUP(B13,Análise!$A$133:$F$141,6,0)+VLOOKUP(C13,Análise!$A$95:$F$98,6,0)+VLOOKUP(D13,Análise!$A$104:$F$110,6,0)</f>
        <v>-2.3748450592643984</v>
      </c>
    </row>
    <row r="15" spans="1:9" ht="15" customHeight="1" x14ac:dyDescent="0.3">
      <c r="A15" s="4" t="s">
        <v>115</v>
      </c>
      <c r="H15" s="4">
        <f>SUMPRODUCT(ABS(G4:G13-F4:F13))/COUNT(G4:G13)</f>
        <v>0.13883449673523549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Metadados</vt:lpstr>
      <vt:lpstr>Base</vt:lpstr>
      <vt:lpstr>Calculadora</vt:lpstr>
      <vt:lpstr>Análise</vt:lpstr>
      <vt:lpstr>Validação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Vitor Garcia</cp:lastModifiedBy>
  <cp:revision>0</cp:revision>
  <dcterms:created xsi:type="dcterms:W3CDTF">2022-03-10T23:56:03Z</dcterms:created>
  <dcterms:modified xsi:type="dcterms:W3CDTF">2026-09-27T19:26:14Z</dcterms:modified>
  <dc:language>en-US</dc:language>
</cp:coreProperties>
</file>